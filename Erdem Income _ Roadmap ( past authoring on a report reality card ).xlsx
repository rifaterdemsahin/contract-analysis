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mbers" sheetId="1" r:id="rId4"/>
    <sheet state="visible" name="LineGraph" sheetId="2" r:id="rId5"/>
    <sheet state="visible" name="Graph" sheetId="3" r:id="rId6"/>
    <sheet state="visible" name="compound" sheetId="4" r:id="rId7"/>
  </sheets>
  <definedNames/>
  <calcPr/>
  <pivotCaches>
    <pivotCache cacheId="0" r:id="rId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tc={259ee5c3-fe1e-4825-bb68-d115d01037c1}</author>
    <author>tc={48cd986c-a100-4d49-a3cf-ea50a606ab73}</author>
    <author>tc={69bcad6c-0768-4bc3-a469-eaf6c798d701}</author>
    <author>tc={a1d7f157-1965-4215-b127-11d9eacde513}</author>
    <author>tc={d3f12978-a4f9-4c87-9eba-fdde9707e3aa}</author>
    <author>tc={e0985cec-602d-498c-8d44-2afd82693b46}</author>
    <author>tc={fcd4c8a7-d55e-4f59-b308-aa80d9e6c371}</author>
  </authors>
  <commentList>
    <comment authorId="0" ref="H1">
      <text>
        <t xml:space="preserve">S &gt; time based
B &gt; Asset based
</t>
      </text>
    </comment>
    <comment authorId="0" ref="AE24">
      <text>
        <t xml:space="preserve">they also gave the feedback as i am too much high ld dl</t>
      </text>
    </comment>
    <comment authorId="0" ref="AE23">
      <text>
        <t xml:space="preserve">they also gave the feedback as i am too much high ld dl</t>
      </text>
    </comment>
    <comment authorId="0" ref="L1">
      <text>
        <t xml:space="preserve">https://www.youtube.com/watch?v=sYdaa02CS5E
https://youtu.be/sYdaa02CS5E
</t>
      </text>
    </comment>
    <comment authorId="1" xr:uid="{259ee5c3-fe1e-4825-bb68-d115d01037c1}" ref="Z1">
      <text>
        <t xml:space="preserve">[Threaded comment]
 Your version of Excel allows you to read this threaded comment; however, any edits to it will get removed if the file is opened in a newer version of Excel. Learn more: https://go.microsoft.com/fwlink/?linkid=870924
Comment:
	@kchetin@gmail.com added the duration for analysis
Reply:
	Good. Now the figures are not up in the air :)
</t>
      </text>
    </comment>
    <comment authorId="2" xr:uid="{48cd986c-a100-4d49-a3cf-ea50a606ab73}" ref="AB26">
      <text>
        <t xml:space="preserve">[Threaded comment]
 Your version of Excel allows you to read this threaded comment; however, any edits to it will get removed if the file is opened in a newer version of Excel. Learn more: https://go.microsoft.com/fwlink/?linkid=870924
Comment:
	@info@pexabo.com we need to become more mobile it looks like it. Coordinate the process with @ece.pakkan@gmail.com on using the remote platforms in our studio
</t>
      </text>
    </comment>
    <comment authorId="3" xr:uid="{69bcad6c-0768-4bc3-a469-eaf6c798d701}" ref="AB6">
      <text>
        <t xml:space="preserve">[Threaded comment]
 Your version of Excel allows you to read this threaded comment; however, any edits to it will get removed if the file is opened in a newer version of Excel. Learn more: https://go.microsoft.com/fwlink/?linkid=870924
Comment:
	oblomov durumu https://www.youtube.com/watch?v=sgmy6Ke_xQY
Reply:
	family business
</t>
      </text>
    </comment>
    <comment authorId="4" xr:uid="{a1d7f157-1965-4215-b127-11d9eacde513}" ref="AR23">
      <text>
        <t xml:space="preserve">[Threaded comment]
 Your version of Excel allows you to read this threaded comment; however, any edits to it will get removed if the file is opened in a newer version of Excel. Learn more: https://go.microsoft.com/fwlink/?linkid=870924
Comment:
	8x could be capitalism maximum
Reply:
	@kchetin@gmail.com i realize this 8 times income could be the ceiling in the economy which makes the startup much more important.
Reply:
	So, there is the RATE and there us DURATION  coupled in this comparison.
And the GAP avoidance not seen here..
Rate - good if you can keep above 500, but must set a minimum, unless a
long and type of contract you want..
Duration - anything less than 3 months would be an exception that you may
want to agree..
Gaps - already discussed. No good to take 700x20 work days, then nothing ...
Long term: like any skill, at some point the wages start declining for a
type of role.. So, like a racing yacht, need to find the favourable winds
to keep the speed and best course.
😉  🐬 in a world of 🦈🦈
</t>
      </text>
    </comment>
    <comment authorId="5" xr:uid="{d3f12978-a4f9-4c87-9eba-fdde9707e3aa}" ref="AK26">
      <text>
        <t xml:space="preserve">[Threaded comment]
 Your version of Excel allows you to read this threaded comment; however, any edits to it will get removed if the file is opened in a newer version of Excel. Learn more: https://go.microsoft.com/fwlink/?linkid=870924
Comment:
	@info@pexabo.com we might need to line up 2 contracts at the same time. @ece.pakkan@gmail.com
</t>
      </text>
    </comment>
    <comment authorId="6" xr:uid="{e0985cec-602d-498c-8d44-2afd82693b46}" ref="AV25">
      <text>
        <t xml:space="preserve">[Threaded comment]
 Your version of Excel allows you to read this threaded comment; however, any edits to it will get removed if the file is opened in a newer version of Excel. Learn more: https://go.microsoft.com/fwlink/?linkid=870924
Comment:
	I did not see anywhere exceed £800 for devops roles
</t>
      </text>
    </comment>
    <comment authorId="7" xr:uid="{fcd4c8a7-d55e-4f59-b308-aa80d9e6c371}" ref="AE1">
      <text>
        <t xml:space="preserve">[Threaded comment]
 Your version of Excel allows you to read this threaded comment; however, any edits to it will get removed if the file is opened in a newer version of Excel. Learn more: https://go.microsoft.com/fwlink/?linkid=870924
Comment:
	@kchetin@gmail.com adding the titles
</t>
      </text>
    </comment>
  </commentList>
</comments>
</file>

<file path=xl/sharedStrings.xml><?xml version="1.0" encoding="utf-8"?>
<sst xmlns="http://schemas.openxmlformats.org/spreadsheetml/2006/main" count="1081" uniqueCount="464">
  <si>
    <t>year</t>
  </si>
  <si>
    <t>Age &gt; born 1980</t>
  </si>
  <si>
    <t>Net Money in the bank ( Worth )( spending )</t>
  </si>
  <si>
    <t>Debt ( GBP K )</t>
  </si>
  <si>
    <t>Net Position</t>
  </si>
  <si>
    <t>Financial Baby Step</t>
  </si>
  <si>
    <t>Rationale</t>
  </si>
  <si>
    <t>Type</t>
  </si>
  <si>
    <t>Work Structure</t>
  </si>
  <si>
    <t>Market</t>
  </si>
  <si>
    <t>Company Lead</t>
  </si>
  <si>
    <t>Ocean Type</t>
  </si>
  <si>
    <t>Government</t>
  </si>
  <si>
    <t>BCI Direction     ( v SRE/ DEVOPS ^)</t>
  </si>
  <si>
    <t>Trending Keywords And Direction</t>
  </si>
  <si>
    <t>Passport Access</t>
  </si>
  <si>
    <t>Security Clearance</t>
  </si>
  <si>
    <t>whyhired(Upsell) / =&gt; whatadded?(Leverage/Antifragile)</t>
  </si>
  <si>
    <t>Audience</t>
  </si>
  <si>
    <t>Marketing Type</t>
  </si>
  <si>
    <t>Lead Source</t>
  </si>
  <si>
    <t>Passport/Visa</t>
  </si>
  <si>
    <t>Productivity ( Speed &gt; Reuse skills,materials(code,machines))</t>
  </si>
  <si>
    <t>Materials</t>
  </si>
  <si>
    <t>COUNTRY</t>
  </si>
  <si>
    <t xml:space="preserve">location city </t>
  </si>
  <si>
    <t>delivery</t>
  </si>
  <si>
    <t>mobility(km)</t>
  </si>
  <si>
    <t xml:space="preserve">concurrency </t>
  </si>
  <si>
    <t>tax status</t>
  </si>
  <si>
    <t>role</t>
  </si>
  <si>
    <t>Duration month</t>
  </si>
  <si>
    <t>type</t>
  </si>
  <si>
    <t>Skills Added Symbols</t>
  </si>
  <si>
    <t>Github Projects</t>
  </si>
  <si>
    <t>CV Linkedin Projects</t>
  </si>
  <si>
    <t>pound month ( net/gross )</t>
  </si>
  <si>
    <t>pound per hour</t>
  </si>
  <si>
    <t>production income</t>
  </si>
  <si>
    <t>Corp/Customer Generated Revenue</t>
  </si>
  <si>
    <t>Tax ( personal/Corporate )</t>
  </si>
  <si>
    <t>increase rate to previous</t>
  </si>
  <si>
    <t>tr min wage</t>
  </si>
  <si>
    <t>uk min wage</t>
  </si>
  <si>
    <t>loose team count</t>
  </si>
  <si>
    <t>state</t>
  </si>
  <si>
    <t>Asistants - Support</t>
  </si>
  <si>
    <t xml:space="preserve">Description / GAP / Marketing / Learned </t>
  </si>
  <si>
    <t>Experiment ( success driven )</t>
  </si>
  <si>
    <t>I</t>
  </si>
  <si>
    <t>Probabilistic</t>
  </si>
  <si>
    <t>Financial</t>
  </si>
  <si>
    <t>Stock market</t>
  </si>
  <si>
    <t>Red</t>
  </si>
  <si>
    <t>UP</t>
  </si>
  <si>
    <t>Stocks down</t>
  </si>
  <si>
    <t>-</t>
  </si>
  <si>
    <t>extracapital/financialgame</t>
  </si>
  <si>
    <t>Family</t>
  </si>
  <si>
    <t>Push</t>
  </si>
  <si>
    <t>Own Fantasy domestic</t>
  </si>
  <si>
    <t>Turkish Passport</t>
  </si>
  <si>
    <t>Newspaper</t>
  </si>
  <si>
    <t>TR</t>
  </si>
  <si>
    <t>ankara</t>
  </si>
  <si>
    <t>onsite</t>
  </si>
  <si>
    <t>investor</t>
  </si>
  <si>
    <t>investing Wannabe</t>
  </si>
  <si>
    <t>Turkish Read Write</t>
  </si>
  <si>
    <t>lost in time</t>
  </si>
  <si>
    <t>family</t>
  </si>
  <si>
    <t>Zero marketing just gambling, production fear trawma at the age of 10 none-showup.</t>
  </si>
  <si>
    <t>Deterministic</t>
  </si>
  <si>
    <t>Education</t>
  </si>
  <si>
    <t>School</t>
  </si>
  <si>
    <t>Math down</t>
  </si>
  <si>
    <t>Problem focused / English</t>
  </si>
  <si>
    <t>First Principles</t>
  </si>
  <si>
    <t>AFS</t>
  </si>
  <si>
    <t>USA up</t>
  </si>
  <si>
    <t>English  / multi culture workflows</t>
  </si>
  <si>
    <t>Family ( host )</t>
  </si>
  <si>
    <t xml:space="preserve">English </t>
  </si>
  <si>
    <t>Experiment ( failure driven )</t>
  </si>
  <si>
    <t>S</t>
  </si>
  <si>
    <t>tutor</t>
  </si>
  <si>
    <t>Self Learning Up</t>
  </si>
  <si>
    <t>problems with learning / gadgets, mobile customer development</t>
  </si>
  <si>
    <t>a levels</t>
  </si>
  <si>
    <t>Local referals</t>
  </si>
  <si>
    <t>laptop</t>
  </si>
  <si>
    <t>istanbul</t>
  </si>
  <si>
    <t>teacher</t>
  </si>
  <si>
    <t>small business</t>
  </si>
  <si>
    <t>Instruction</t>
  </si>
  <si>
    <t>bougt laptop lost in girls</t>
  </si>
  <si>
    <t>Bring Us to Tr       ( success driven)</t>
  </si>
  <si>
    <t>Deterministic - Probabilistic</t>
  </si>
  <si>
    <t>Real Estate</t>
  </si>
  <si>
    <t>ilkon</t>
  </si>
  <si>
    <t>DOWN</t>
  </si>
  <si>
    <t>Real Estate Down Franchise Up Brokerage Down</t>
  </si>
  <si>
    <t>family extra capital / generalist,design patterns,pocs,microservices, teamwork,salesman,broker,franchisor,asistant manager</t>
  </si>
  <si>
    <t>Turkish real estate entry</t>
  </si>
  <si>
    <t>Local cold calling, Domestic cold calling</t>
  </si>
  <si>
    <t>office spaces x3</t>
  </si>
  <si>
    <t>istanbul - maslak</t>
  </si>
  <si>
    <t>E(handson/tech),S(realestate/manage),B(franchise/scale/market),i(realestate/bookstore/investing), salesman - broker -franchiser - cto</t>
  </si>
  <si>
    <t>Big Business Wannabe</t>
  </si>
  <si>
    <t>tester,POEAA,.net ,CSharp,SQL</t>
  </si>
  <si>
    <t>sunk cost fallacy</t>
  </si>
  <si>
    <t>family &gt; ilkonteam - serdar-murat-yalcin</t>
  </si>
  <si>
    <t>sales is not a "muaaaa things". cant do over mapping in the minds and preemptive strikes, unnecessary detail. Franchising plan did not turn out. I could not use the flipping oppurtunities.</t>
  </si>
  <si>
    <t>Dev</t>
  </si>
  <si>
    <t>enterpro - turkcell / estore</t>
  </si>
  <si>
    <t xml:space="preserve"> wgggg</t>
  </si>
  <si>
    <t>willing to start / introduction to contracting</t>
  </si>
  <si>
    <t>Turkish enterprises</t>
  </si>
  <si>
    <t>network referral</t>
  </si>
  <si>
    <t>istanbul - besiktas - sisli</t>
  </si>
  <si>
    <t>tester - business analysis - contract -  remote</t>
  </si>
  <si>
    <t>Family Business</t>
  </si>
  <si>
    <r>
      <rPr/>
      <t xml:space="preserve">Marketing,Sales,Oracle,Migrations,CRM, </t>
    </r>
    <r>
      <rPr>
        <color rgb="FF1155CC"/>
        <u/>
      </rPr>
      <t>Salesforce.com</t>
    </r>
  </si>
  <si>
    <t>left</t>
  </si>
  <si>
    <t>myself</t>
  </si>
  <si>
    <t>tutor only success with disabled learners. Icebreaker experiment contracting</t>
  </si>
  <si>
    <t>SABBATICAL PIVOTS&gt; ILKON OUT/2m out &gt; Self Learn : Employment</t>
  </si>
  <si>
    <t>X &gt; GAP : Family to Inland ( oblomov Land ^^^ )</t>
  </si>
  <si>
    <t>Existential , Experiment</t>
  </si>
  <si>
    <t>E</t>
  </si>
  <si>
    <t>prominds</t>
  </si>
  <si>
    <t>Software Up</t>
  </si>
  <si>
    <t>zero to jump / enterprise sales</t>
  </si>
  <si>
    <t>Class room based learnign teens</t>
  </si>
  <si>
    <t>domestic portal application local jobs</t>
  </si>
  <si>
    <t>their computer</t>
  </si>
  <si>
    <t>teacher - tutor</t>
  </si>
  <si>
    <t>Employee</t>
  </si>
  <si>
    <t>Excel, MVC, Tech Presentation</t>
  </si>
  <si>
    <t>tutor only success with disabled learners. experience as a teacher. Marketed over friends. Health heart reboot. Importance of feedbacks &gt; elon musk first principle thinking. Meet with Ece.</t>
  </si>
  <si>
    <t>Existential</t>
  </si>
  <si>
    <t>bilgeadam</t>
  </si>
  <si>
    <t>skills gap / take the leap, learn and teach</t>
  </si>
  <si>
    <t>their computer / mine</t>
  </si>
  <si>
    <t>Java,Android,Eclipse</t>
  </si>
  <si>
    <t>tutor only success with disabled learners. Friends marketing. Meet Firat who wants to do startup</t>
  </si>
  <si>
    <t>wordego - ece</t>
  </si>
  <si>
    <t>connect dots / learn aws</t>
  </si>
  <si>
    <t xml:space="preserve">Enterprise Turkey management level </t>
  </si>
  <si>
    <t>their computer/aws</t>
  </si>
  <si>
    <t>istanbul - avcilar</t>
  </si>
  <si>
    <t>senior developer - architect</t>
  </si>
  <si>
    <t>JQuery,Redis,AWS</t>
  </si>
  <si>
    <t xml:space="preserve">keywords in cv and not much supply in avcilar. Did not have enough money for a day gambling in cyprus. </t>
  </si>
  <si>
    <t>ages</t>
  </si>
  <si>
    <t>team work / try new site 24x7</t>
  </si>
  <si>
    <t>their computer/on prem</t>
  </si>
  <si>
    <t>manager</t>
  </si>
  <si>
    <t>Site24x7,Dependency Injection</t>
  </si>
  <si>
    <t>sacked</t>
  </si>
  <si>
    <t>Ece</t>
  </si>
  <si>
    <t>manager fail : aspie to connecto erbug cant manage to communicate with the stakeholders but good with the team. Management likes the delivery. Ioc did not know the load balancers and bigger enterprise actions</t>
  </si>
  <si>
    <t>btctrader devops lead</t>
  </si>
  <si>
    <t>Blue</t>
  </si>
  <si>
    <t>DevOps Up</t>
  </si>
  <si>
    <t>teamwork(mohammad),cloud,trynew,snhu / azure,devops build,release pipelines</t>
  </si>
  <si>
    <t>their computer/azure</t>
  </si>
  <si>
    <t>istanbul - sisli</t>
  </si>
  <si>
    <t>DevOps,Azure,Rackspace</t>
  </si>
  <si>
    <t>azure progress and focus on fixing bugs and CI/CD introduction. Entered the game of adding keywords and meet mohammed who was an expat. Use the Snhu as leverage</t>
  </si>
  <si>
    <t>Marketing Leverage</t>
  </si>
  <si>
    <t>E&gt;S</t>
  </si>
  <si>
    <t>Deterministic / Probabilistic</t>
  </si>
  <si>
    <t>Accenture</t>
  </si>
  <si>
    <t>afs,snhu,teamwork,design patterns / Estimations, Brand name,marketing with freelancer,costumes</t>
  </si>
  <si>
    <t>Pull / Push</t>
  </si>
  <si>
    <t>their computers/X</t>
  </si>
  <si>
    <t>Gebze</t>
  </si>
  <si>
    <t>manager - poc - architect : support</t>
  </si>
  <si>
    <t>Management,SonarQube</t>
  </si>
  <si>
    <t>avoided management communication with success,enterprise name,Creative LinkedIn ages
AFS american schools,Tolga director LinkedIn buildup is important hooks. Contractors make the most money(top guy accenture )</t>
  </si>
  <si>
    <t>Microsoft</t>
  </si>
  <si>
    <t>teamwork,azure / Brand name , USA, Microsoft tools, Service Fabric Azure</t>
  </si>
  <si>
    <t>Enterprises Global</t>
  </si>
  <si>
    <t>istanbul - levent - ankara - izmir - eskisehir</t>
  </si>
  <si>
    <t>sales architect</t>
  </si>
  <si>
    <t>Azure, Networks, Cloud Computing</t>
  </si>
  <si>
    <r>
      <rPr>
        <b/>
        <color rgb="FF00FF00"/>
      </rPr>
      <t>american money rocks</t>
    </r>
    <r>
      <rPr/>
      <t>. Sales fail cant do social with management, big name jump, currency jump makes sense. Linkedin is the base to grow, sales is not aspie thing too political.</t>
    </r>
  </si>
  <si>
    <t>Antifragility</t>
  </si>
  <si>
    <t>kariyermimari</t>
  </si>
  <si>
    <t>Gaming Down</t>
  </si>
  <si>
    <t>tutoring sessions / Lean unity 3d</t>
  </si>
  <si>
    <t>Class room based learning teens</t>
  </si>
  <si>
    <t>mylaptop</t>
  </si>
  <si>
    <t>teacher - tutor : unity</t>
  </si>
  <si>
    <t>Unity 3d, Unreal</t>
  </si>
  <si>
    <t>tutor only success with disabled learners.  turkey small market to do contracting. Go to a antifragile games training and fail on it ( success driven )</t>
  </si>
  <si>
    <t>SABBATICAL PIVOTS &gt; MS OUT&gt;coup &gt; Self Learn : PaperWork Gateways</t>
  </si>
  <si>
    <t>E to S &gt; Gap : 7 month  - VISA</t>
  </si>
  <si>
    <t>Dev to Ops</t>
  </si>
  <si>
    <t>holovis contract</t>
  </si>
  <si>
    <t>Unity3d, Azure,English / get the initial UK Contract</t>
  </si>
  <si>
    <t>Uk enterprises</t>
  </si>
  <si>
    <t>Turkish Passport + ECAA</t>
  </si>
  <si>
    <t>my laptop / my 40 item bag</t>
  </si>
  <si>
    <t>UK</t>
  </si>
  <si>
    <t>uk -rugby</t>
  </si>
  <si>
    <t>outside ir35</t>
  </si>
  <si>
    <t>handson architect (developer ): support : unity</t>
  </si>
  <si>
    <t>Small Business</t>
  </si>
  <si>
    <t>Immigration</t>
  </si>
  <si>
    <t>renew</t>
  </si>
  <si>
    <t>first contract in Uk.push marketing Stratford London, architect roles don't work emre akarsu. Conation quickstart focus. Miniu extend for a week</t>
  </si>
  <si>
    <t>DevOps</t>
  </si>
  <si>
    <t>ticket arena contract</t>
  </si>
  <si>
    <t>Azure , Service Fabric / Microservices, DevOps Contracting</t>
  </si>
  <si>
    <t>uk - leeds</t>
  </si>
  <si>
    <t>devops engineer</t>
  </si>
  <si>
    <t>AZDO</t>
  </si>
  <si>
    <t>sacked &gt; with team</t>
  </si>
  <si>
    <t>contracting unknown time and mobile. 40 items focused on adapting as much as i can. Sacked all the team</t>
  </si>
  <si>
    <t>scottish enterprise contract</t>
  </si>
  <si>
    <t>BPSS</t>
  </si>
  <si>
    <t>move there, Azure , teamwork, devops / Pipelines by Microsoft, negotiate contracts, marketing in contracts, security clerance</t>
  </si>
  <si>
    <t>uk - scotland - glasgow</t>
  </si>
  <si>
    <t>handson architect : support</t>
  </si>
  <si>
    <t>App Services,Microservices, Selenium</t>
  </si>
  <si>
    <t>ask for more and take chances</t>
  </si>
  <si>
    <t>craneware contract</t>
  </si>
  <si>
    <t>move there, Azure , devops / Chatops automation</t>
  </si>
  <si>
    <t>uk - scotland - edinburgh</t>
  </si>
  <si>
    <t>architect : engineer</t>
  </si>
  <si>
    <t>Chatops</t>
  </si>
  <si>
    <t>completed</t>
  </si>
  <si>
    <t>real contractor rates, do your own thing continue. Google did not pay as well as a contract. Management asks something different. Parkistan Hassan</t>
  </si>
  <si>
    <t>mmt contract</t>
  </si>
  <si>
    <t>move there, architecture, teamwork, Azure , devops / ASE Contracts</t>
  </si>
  <si>
    <t>global portal application</t>
  </si>
  <si>
    <t>uk - uppingham</t>
  </si>
  <si>
    <t>Docker,ASE</t>
  </si>
  <si>
    <t xml:space="preserve">marketing on the linkedin repeat network,I can live in a market town, Eric meetups where he also leverages himself out of the market town </t>
  </si>
  <si>
    <t>rbr contract</t>
  </si>
  <si>
    <t>move there, Azure , devops / Kubernetes, Gaming  clubs</t>
  </si>
  <si>
    <t>uk - nottingham</t>
  </si>
  <si>
    <t>Kubernetes,Conjure,ELK</t>
  </si>
  <si>
    <t xml:space="preserve">kickedout &gt; kubernetes </t>
  </si>
  <si>
    <t>political staff happens in companies no need to overplay in your head. you are an aspie not as fast as neurotypicals in new things learning and implementing</t>
  </si>
  <si>
    <t>smartspace</t>
  </si>
  <si>
    <t>move there, Azure , devops, Service Fabric / Gaming  clubs, London contract, Octopus</t>
  </si>
  <si>
    <t>my laptop / my 2 bag</t>
  </si>
  <si>
    <t>uk -luton</t>
  </si>
  <si>
    <t>Service Fabric</t>
  </si>
  <si>
    <t>Caglar</t>
  </si>
  <si>
    <t>Got the same money in worst place but had london in its name and banking. Worked on haigh administration issue</t>
  </si>
  <si>
    <t xml:space="preserve">concentra  contract </t>
  </si>
  <si>
    <t xml:space="preserve">background check </t>
  </si>
  <si>
    <t>azure, microsoft / london contract, pthyon</t>
  </si>
  <si>
    <t>my laptop / home studio</t>
  </si>
  <si>
    <t>UK- london</t>
  </si>
  <si>
    <t xml:space="preserve">devops engineer </t>
  </si>
  <si>
    <t>Python,Terraform</t>
  </si>
  <si>
    <t>London name and banking helper to settle. 700 pound contracts, market limits ?</t>
  </si>
  <si>
    <t>ardent blue contract</t>
  </si>
  <si>
    <t>python, gaming experience, estimations / usa contract, remote contract, wire transfer, south america contract</t>
  </si>
  <si>
    <t>Usa enterprises</t>
  </si>
  <si>
    <t>home studio</t>
  </si>
  <si>
    <t>USA</t>
  </si>
  <si>
    <t>New York</t>
  </si>
  <si>
    <t xml:space="preserve">remote </t>
  </si>
  <si>
    <t>devops engineer : unity</t>
  </si>
  <si>
    <t>AWS Step functions, Lambda</t>
  </si>
  <si>
    <t>Caglar - Ece</t>
  </si>
  <si>
    <t>Us contract multiple continents and use of serverless hardcore with step functions.</t>
  </si>
  <si>
    <t xml:space="preserve">SABBATICAL PIVOTS &gt; COVID : &gt; Self Learn :Content </t>
  </si>
  <si>
    <t>down</t>
  </si>
  <si>
    <t xml:space="preserve">Gap : Corona &gt; </t>
  </si>
  <si>
    <t>Canada Life</t>
  </si>
  <si>
    <t>azure,microservices,devops,octopus / work from home, video production studio</t>
  </si>
  <si>
    <t>London North</t>
  </si>
  <si>
    <t>remote</t>
  </si>
  <si>
    <t>APIM</t>
  </si>
  <si>
    <t>Parkistan Ali abdaal see in garage stop the car.</t>
  </si>
  <si>
    <t>Canada Life,Theta</t>
  </si>
  <si>
    <t>azure / logic apps infra as code</t>
  </si>
  <si>
    <t>Logic Apps</t>
  </si>
  <si>
    <t>Caglar - Ece-Mehmet</t>
  </si>
  <si>
    <t>Double action fear and overcome</t>
  </si>
  <si>
    <t xml:space="preserve">azure / apim automation </t>
  </si>
  <si>
    <t>Octopus</t>
  </si>
  <si>
    <t>sacked &gt; with team ( later on )</t>
  </si>
  <si>
    <t>Anjum - Caglar - Ece - X(cocreators)</t>
  </si>
  <si>
    <t>Relax and focus on the team for them to REUSE and create a usable video for the consumer.</t>
  </si>
  <si>
    <t>CW</t>
  </si>
  <si>
    <t>infrastructure as code, azure, costumes / post production tools</t>
  </si>
  <si>
    <t>Wework / gadgets</t>
  </si>
  <si>
    <t>UK-USA</t>
  </si>
  <si>
    <t>London Central</t>
  </si>
  <si>
    <t>IAC</t>
  </si>
  <si>
    <t>extended</t>
  </si>
  <si>
    <t>connect the dots move to a better location for recording. Everything is not money family visits</t>
  </si>
  <si>
    <t>QCK</t>
  </si>
  <si>
    <t>Azure / Infra as code</t>
  </si>
  <si>
    <t>Global enterprises</t>
  </si>
  <si>
    <t>IRELAND_GERMANY</t>
  </si>
  <si>
    <t>Austria</t>
  </si>
  <si>
    <t>NVidia</t>
  </si>
  <si>
    <t>Move to AI and the preprod work should be done in the problems that i solve can be presented with energy</t>
  </si>
  <si>
    <t>Theta</t>
  </si>
  <si>
    <t>apim automation / multi roles possible/notpossible</t>
  </si>
  <si>
    <t>Connectors</t>
  </si>
  <si>
    <t>ended -burnout</t>
  </si>
  <si>
    <t>Daisy chain and have backup for the ILR system</t>
  </si>
  <si>
    <t>Etoro</t>
  </si>
  <si>
    <t>Finance Down</t>
  </si>
  <si>
    <t>extra cash / financal rules</t>
  </si>
  <si>
    <t>Own Fantasy global</t>
  </si>
  <si>
    <t>site and aggregators</t>
  </si>
  <si>
    <t>Cyprus</t>
  </si>
  <si>
    <t>Investor</t>
  </si>
  <si>
    <t>Finance,Forex,Markets</t>
  </si>
  <si>
    <t>&gt; exit due to ECAA application</t>
  </si>
  <si>
    <t>Forex back up &gt; 15k &gt;10 percent loss GBP to dollar and 10k to Pinar for her to buy a house</t>
  </si>
  <si>
    <t>Immutable Infra</t>
  </si>
  <si>
    <t>natural end &gt; accenture like</t>
  </si>
  <si>
    <t xml:space="preserve">Anjum - Caglar - Ece </t>
  </si>
  <si>
    <t>Mentoring baris, smaller production team</t>
  </si>
  <si>
    <t>Azure / Infra as code present and the udemy course</t>
  </si>
  <si>
    <t>Pip</t>
  </si>
  <si>
    <t xml:space="preserve">natural end </t>
  </si>
  <si>
    <t>Decided on Ultimate Guide on DevOps Engineering for Contractors</t>
  </si>
  <si>
    <t>EMERSON</t>
  </si>
  <si>
    <t>DevOps Stable</t>
  </si>
  <si>
    <t>Oxford relationship,Kubernetes/ USA Company</t>
  </si>
  <si>
    <t>USA C2C Remote</t>
  </si>
  <si>
    <t>USA - SPAIN - FRANCE - SWITZERLAND -UK</t>
  </si>
  <si>
    <t>Paris</t>
  </si>
  <si>
    <t>Kubernetes, Community Management</t>
  </si>
  <si>
    <t>Swiss company did it, followed up all the incfile work, usa first blood</t>
  </si>
  <si>
    <t>Ypsomed</t>
  </si>
  <si>
    <t>Oxford relationship,Migration keyword, Azure/ Switzerland Role , Immigration course</t>
  </si>
  <si>
    <t>SWITZERLAND</t>
  </si>
  <si>
    <t>Solothurn Switzerland</t>
  </si>
  <si>
    <t>hybrid</t>
  </si>
  <si>
    <t>Git, Migration planning, Wordpress</t>
  </si>
  <si>
    <t>new</t>
  </si>
  <si>
    <t>Anjum - Caglar - Ece - Oyku - Kajla</t>
  </si>
  <si>
    <t>Same agency tripple contracts &gt; IR35 and visa mitigation</t>
  </si>
  <si>
    <t>Extension TFS migration, consistency</t>
  </si>
  <si>
    <t>Napier</t>
  </si>
  <si>
    <t>TFS,Miro</t>
  </si>
  <si>
    <t>Affiliates - Ece</t>
  </si>
  <si>
    <t>ILR limbo period</t>
  </si>
  <si>
    <t>Ypsomed (3) , CPrime (5)</t>
  </si>
  <si>
    <t>Extension TFS migration, Omad</t>
  </si>
  <si>
    <t>Linkedin and referals</t>
  </si>
  <si>
    <r>
      <rPr/>
      <t xml:space="preserve">Turkish Passport + </t>
    </r>
    <r>
      <rPr>
        <b/>
      </rPr>
      <t>ILR</t>
    </r>
  </si>
  <si>
    <t>Macbook pro/xps backpack</t>
  </si>
  <si>
    <r>
      <rPr/>
      <t xml:space="preserve">REMOTE SWISS / OMAN </t>
    </r>
    <r>
      <rPr>
        <b/>
      </rPr>
      <t>ONSITE</t>
    </r>
  </si>
  <si>
    <t>Muscat / Room</t>
  </si>
  <si>
    <t>devops lead</t>
  </si>
  <si>
    <t>Employee, Business</t>
  </si>
  <si>
    <t>Release Train Engineering, GPT, Workrlows, Onpremise gateways</t>
  </si>
  <si>
    <t>natural end, terminated</t>
  </si>
  <si>
    <t>Upwork sow based low perform Anjum,Caglar,Rachel &gt; Ece offline depression</t>
  </si>
  <si>
    <t>Out of the limbo but landed at the start while Funding circle offered at 30 percent. Oman with expenses paid system over the Goldman sachs</t>
  </si>
  <si>
    <t>SABBATICAL PIVOTS &gt; FAMILY EMERGENCY &gt; Self Learn : Niche / Funnel</t>
  </si>
  <si>
    <t>S to B &gt; move to production(B) &gt; finance (I)</t>
  </si>
  <si>
    <t>E/S</t>
  </si>
  <si>
    <t>Deterministic - Probalistic</t>
  </si>
  <si>
    <t>IBM / SSE</t>
  </si>
  <si>
    <t>UP/DOWN</t>
  </si>
  <si>
    <t>SRE</t>
  </si>
  <si>
    <t>uk_bpss &gt; nsv_europe,nato</t>
  </si>
  <si>
    <t>numbers is lead generation 80 per cent fail. High tech geek sells</t>
  </si>
  <si>
    <t>Domestic Enterprise -Security Clearance</t>
  </si>
  <si>
    <t>Linkedin</t>
  </si>
  <si>
    <t>Turkish  + Nato Security Clerance</t>
  </si>
  <si>
    <t>Workstation</t>
  </si>
  <si>
    <t>UK READING</t>
  </si>
  <si>
    <t>READING UK</t>
  </si>
  <si>
    <t>inside ir35</t>
  </si>
  <si>
    <t>Openshift / Kubernetes / Screen Writing</t>
  </si>
  <si>
    <t>Support All Family &gt; Ece mental support</t>
  </si>
  <si>
    <t>Complex cluster management &gt; universal credit &gt; second brain / 1000 expenses monthly</t>
  </si>
  <si>
    <t>British  + Nato Security Clerance</t>
  </si>
  <si>
    <t>Complex cluster management &gt; universal credit &gt; llm  / 1500 expenses monthly</t>
  </si>
  <si>
    <t>Cap Gemini</t>
  </si>
  <si>
    <t>SC pending , nato can be invalid not used</t>
  </si>
  <si>
    <t>SC posibility and control room access</t>
  </si>
  <si>
    <t>Referal</t>
  </si>
  <si>
    <t>British  + Turkish  +Nato Security Clerance</t>
  </si>
  <si>
    <t>Complex cluster management &gt; tax payments immobilised &gt; could not move the READING</t>
  </si>
  <si>
    <t>BB</t>
  </si>
  <si>
    <t>Existensial</t>
  </si>
  <si>
    <t>B</t>
  </si>
  <si>
    <t>Probalistic</t>
  </si>
  <si>
    <t>AI</t>
  </si>
  <si>
    <t>Delivery Pilot</t>
  </si>
  <si>
    <t>AI Solution Architect</t>
  </si>
  <si>
    <t>DevAIOps CI/CD framework &gt; Consulting,Coaching,Contribution &gt; Cross Chasm Omantel &gt; Build Orchestrators / Udemy and Consulting Sales on Implementation 100k and 1m product service &gt; delivery pilot</t>
  </si>
  <si>
    <t>Pull</t>
  </si>
  <si>
    <t>CAnva to Linkedin Lead Magnets &gt; Product WebSite</t>
  </si>
  <si>
    <t>Domicile Dynamic / ILR / E2</t>
  </si>
  <si>
    <t>workstation</t>
  </si>
  <si>
    <t>Production Set</t>
  </si>
  <si>
    <t>onsite to remote</t>
  </si>
  <si>
    <t>partners sales, scheduling,Video Production, AI at all stage asistans</t>
  </si>
  <si>
    <t xml:space="preserve">stayin </t>
  </si>
  <si>
    <t>Citizen UK</t>
  </si>
  <si>
    <t>Month</t>
  </si>
  <si>
    <t>Location</t>
  </si>
  <si>
    <t>Average Employee</t>
  </si>
  <si>
    <t xml:space="preserve">production income x50 to1M smallbusiness per month </t>
  </si>
  <si>
    <t>Country</t>
  </si>
  <si>
    <t>Total Work for Others Revenue</t>
  </si>
  <si>
    <t>Months</t>
  </si>
  <si>
    <t>Average</t>
  </si>
  <si>
    <t>CONTRACT OUTCOME UK/USA</t>
  </si>
  <si>
    <t>PERCENT</t>
  </si>
  <si>
    <t>Average Contract Month ( Small business )</t>
  </si>
  <si>
    <t>onsite 
70% remote %30</t>
  </si>
  <si>
    <t>Sacked</t>
  </si>
  <si>
    <t>.</t>
  </si>
  <si>
    <t>Asset Based Business</t>
  </si>
  <si>
    <t>%80 bornland / %20 immigrant</t>
  </si>
  <si>
    <t>Investing</t>
  </si>
  <si>
    <t>%50 offline %50 online</t>
  </si>
  <si>
    <t>Pro Total</t>
  </si>
  <si>
    <t>burnout</t>
  </si>
  <si>
    <t>Year</t>
  </si>
  <si>
    <t>Grand Empl / Contracts Total</t>
  </si>
  <si>
    <t>Total</t>
  </si>
  <si>
    <t>Enterprise Contract Count</t>
  </si>
  <si>
    <t>Average monthly</t>
  </si>
  <si>
    <t>PRO TOTAL</t>
  </si>
  <si>
    <t>Average on a contract</t>
  </si>
  <si>
    <t>SEMI FAMILY SELF TOTAL</t>
  </si>
  <si>
    <t>B/S</t>
  </si>
  <si>
    <t>Day rate</t>
  </si>
  <si>
    <t>Initial investment ( school )</t>
  </si>
  <si>
    <t>BigBusiness Loss(family)</t>
  </si>
  <si>
    <t>add minus</t>
  </si>
  <si>
    <t>Poker Loss</t>
  </si>
  <si>
    <t>Permanent Employee</t>
  </si>
  <si>
    <t>Contractx1o</t>
  </si>
  <si>
    <t>SUM of pound month ( net/gross )</t>
  </si>
  <si>
    <t xml:space="preserve"> Total</t>
  </si>
  <si>
    <t>£400 Total</t>
  </si>
  <si>
    <t>£500 Total</t>
  </si>
  <si>
    <t>£600 Total</t>
  </si>
  <si>
    <t>£800 Total</t>
  </si>
  <si>
    <t>£1,000 Total</t>
  </si>
  <si>
    <t>£1,500 Total</t>
  </si>
  <si>
    <t>£2,000 Total</t>
  </si>
  <si>
    <t>£3,000 Total</t>
  </si>
  <si>
    <t>£5,000 Total</t>
  </si>
  <si>
    <t>£6,000 Total</t>
  </si>
  <si>
    <t>£8,000 Total</t>
  </si>
  <si>
    <t>£9,000 Total</t>
  </si>
  <si>
    <t>£10,000 Total</t>
  </si>
  <si>
    <t>£12,000 Total</t>
  </si>
  <si>
    <t>£15,840 Total</t>
  </si>
  <si>
    <t>£19,720 Total</t>
  </si>
  <si>
    <t>Compund rate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</si>
</sst>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809]#,##0"/>
    <numFmt numFmtId="166" formatCode="[$£-809]#,##0.00"/>
    <numFmt numFmtId="167" formatCode="0.0"/>
    <numFmt numFmtId="168" formatCode="d-m"/>
    <numFmt numFmtId="169" formatCode="[$$]#,##0"/>
  </numFmts>
  <fonts count="27">
    <font>
      <sz val="10.0"/>
      <color rgb="FF000000"/>
      <name val="Arial"/>
    </font>
    <font>
      <b/>
    </font>
    <font>
      <b/>
      <sz val="14.0"/>
    </font>
    <font>
      <b/>
      <sz val="8.0"/>
    </font>
    <font/>
    <font>
      <b/>
      <sz val="24.0"/>
      <color rgb="FFFF0000"/>
    </font>
    <font>
      <u/>
      <color rgb="FF0000FF"/>
    </font>
    <font>
      <b/>
      <sz val="18.0"/>
      <color rgb="FFFFFFFF"/>
    </font>
    <font>
      <sz val="18.0"/>
      <color rgb="FFFFFFFF"/>
    </font>
    <font>
      <color rgb="FFFF0000"/>
    </font>
    <font>
      <name val="Arial"/>
    </font>
    <font>
      <b/>
      <name val="Arial"/>
    </font>
    <font>
      <b/>
      <color rgb="FFFFFFFF"/>
    </font>
    <font>
      <color rgb="FFFFFFFF"/>
    </font>
    <font>
      <b/>
      <color rgb="FF0000FF"/>
    </font>
    <font>
      <b/>
      <sz val="24.0"/>
    </font>
    <font>
      <b/>
      <sz val="18.0"/>
      <color rgb="FFFF0000"/>
    </font>
    <font>
      <b/>
      <color rgb="FFFF0000"/>
    </font>
    <font>
      <color rgb="FF000000"/>
      <name val="Arial"/>
    </font>
    <font>
      <color rgb="FF000000"/>
      <name val="&quot;Arial&quot;"/>
    </font>
    <font>
      <b/>
      <i/>
      <strike/>
      <color rgb="FFFF9900"/>
    </font>
    <font>
      <b/>
      <sz val="12.0"/>
    </font>
    <font>
      <b/>
      <sz val="18.0"/>
    </font>
    <font>
      <b/>
      <sz val="14.0"/>
      <color rgb="FFFFFFFF"/>
    </font>
    <font>
      <sz val="18.0"/>
    </font>
    <font>
      <sz val="24.0"/>
    </font>
    <font>
      <b/>
      <sz val="14.0"/>
      <color rgb="FFFF0000"/>
    </font>
  </fonts>
  <fills count="11">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00FF"/>
        <bgColor rgb="FF0000FF"/>
      </patternFill>
    </fill>
    <fill>
      <patternFill patternType="solid">
        <fgColor rgb="FFB7B7B7"/>
        <bgColor rgb="FFB7B7B7"/>
      </patternFill>
    </fill>
    <fill>
      <patternFill patternType="solid">
        <fgColor rgb="FFCCCCCC"/>
        <bgColor rgb="FFCCCCCC"/>
      </patternFill>
    </fill>
    <fill>
      <patternFill patternType="solid">
        <fgColor rgb="FFFFFFFF"/>
        <bgColor rgb="FFFFFFFF"/>
      </patternFill>
    </fill>
    <fill>
      <patternFill patternType="solid">
        <fgColor rgb="FF0B5394"/>
        <bgColor rgb="FF0B5394"/>
      </patternFill>
    </fill>
    <fill>
      <patternFill patternType="solid">
        <fgColor rgb="FF000000"/>
        <bgColor rgb="FF000000"/>
      </patternFill>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0" fontId="1" numFmtId="166"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1" fillId="0" fontId="1" numFmtId="1" xfId="0" applyAlignment="1" applyBorder="1" applyFont="1" applyNumberFormat="1">
      <alignment horizontal="center" readingOrder="0" shrinkToFit="0" vertical="center" wrapText="1"/>
    </xf>
    <xf borderId="1" fillId="0" fontId="1" numFmtId="0" xfId="0" applyAlignment="1" applyBorder="1" applyFont="1">
      <alignment horizontal="left" readingOrder="0" shrinkToFit="0" vertical="top" wrapText="1"/>
    </xf>
    <xf borderId="1" fillId="0" fontId="3"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3" xfId="0" applyAlignment="1" applyBorder="1" applyFont="1" applyNumberFormat="1">
      <alignment horizontal="center" readingOrder="0" shrinkToFit="0" vertical="center" wrapText="1"/>
    </xf>
    <xf borderId="1" fillId="0" fontId="5" numFmtId="3" xfId="0" applyAlignment="1" applyBorder="1" applyFont="1" applyNumberForma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1" fillId="0" fontId="2" numFmtId="3" xfId="0" applyAlignment="1" applyBorder="1" applyFont="1" applyNumberFormat="1">
      <alignment horizontal="center" readingOrder="0" vertical="center"/>
    </xf>
    <xf borderId="1" fillId="0" fontId="4" numFmtId="165" xfId="0" applyAlignment="1" applyBorder="1" applyFont="1" applyNumberFormat="1">
      <alignment horizontal="center" readingOrder="0" shrinkToFit="0" vertical="center" wrapText="1"/>
    </xf>
    <xf borderId="1" fillId="0" fontId="4" numFmtId="165" xfId="0" applyAlignment="1" applyBorder="1" applyFont="1" applyNumberForma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horizontal="center" readingOrder="0" vertical="center"/>
    </xf>
    <xf borderId="1" fillId="0" fontId="4" numFmtId="1" xfId="0" applyAlignment="1" applyBorder="1" applyFont="1" applyNumberFormat="1">
      <alignment horizontal="center" shrinkToFit="0" vertical="center" wrapText="1"/>
    </xf>
    <xf borderId="1" fillId="0" fontId="4" numFmtId="167" xfId="0" applyAlignment="1" applyBorder="1" applyFont="1" applyNumberFormat="1">
      <alignment horizontal="center" shrinkToFit="0" vertical="center" wrapText="1"/>
    </xf>
    <xf borderId="1" fillId="0" fontId="4" numFmtId="0" xfId="0" applyAlignment="1" applyBorder="1" applyFont="1">
      <alignment horizontal="left" readingOrder="0" shrinkToFit="0" vertical="top" wrapText="1"/>
    </xf>
    <xf borderId="1" fillId="0" fontId="4" numFmtId="166" xfId="0" applyAlignment="1" applyBorder="1" applyFont="1" applyNumberFormat="1">
      <alignment horizontal="center" vertical="center"/>
    </xf>
    <xf borderId="1" fillId="0" fontId="4" numFmtId="1" xfId="0" applyAlignment="1" applyBorder="1" applyFont="1" applyNumberFormat="1">
      <alignment horizontal="center" readingOrder="0" shrinkToFit="0" vertical="center" wrapText="1"/>
    </xf>
    <xf borderId="1" fillId="0" fontId="4" numFmtId="165" xfId="0" applyAlignment="1" applyBorder="1" applyFont="1" applyNumberFormat="1">
      <alignment horizontal="center" vertical="center"/>
    </xf>
    <xf borderId="1" fillId="3" fontId="4" numFmtId="0" xfId="0" applyAlignment="1" applyBorder="1" applyFill="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0" fontId="4" numFmtId="3" xfId="0" applyAlignment="1" applyBorder="1" applyFont="1" applyNumberFormat="1">
      <alignment horizontal="center" readingOrder="0" vertical="center"/>
    </xf>
    <xf borderId="1" fillId="0" fontId="6" numFmtId="165" xfId="0" applyAlignment="1" applyBorder="1" applyFont="1" applyNumberFormat="1">
      <alignment horizontal="center" readingOrder="0" shrinkToFit="0" vertical="center" wrapText="1"/>
    </xf>
    <xf borderId="2" fillId="4" fontId="7"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1" fillId="4" fontId="8" numFmtId="0" xfId="0" applyAlignment="1" applyBorder="1" applyFont="1">
      <alignment horizontal="center" readingOrder="0" shrinkToFit="0" vertical="center" wrapText="1"/>
    </xf>
    <xf borderId="1" fillId="4" fontId="7" numFmtId="0" xfId="0" applyAlignment="1" applyBorder="1" applyFont="1">
      <alignment horizontal="center" readingOrder="0" shrinkToFit="0" vertical="center" wrapText="1"/>
    </xf>
    <xf borderId="1" fillId="4" fontId="1" numFmtId="165" xfId="0" applyAlignment="1" applyBorder="1" applyFont="1" applyNumberFormat="1">
      <alignment horizontal="center" vertical="center"/>
    </xf>
    <xf borderId="1" fillId="4" fontId="1" numFmtId="165" xfId="0" applyAlignment="1" applyBorder="1" applyFont="1" applyNumberFormat="1">
      <alignment horizontal="center" readingOrder="0" vertical="center"/>
    </xf>
    <xf borderId="1" fillId="4" fontId="4" numFmtId="9" xfId="0" applyAlignment="1" applyBorder="1" applyFont="1" applyNumberFormat="1">
      <alignment horizontal="center" vertical="center"/>
    </xf>
    <xf borderId="1" fillId="4" fontId="4" numFmtId="1" xfId="0" applyAlignment="1" applyBorder="1" applyFont="1" applyNumberFormat="1">
      <alignment horizontal="center" shrinkToFit="0" vertical="center" wrapText="1"/>
    </xf>
    <xf borderId="1" fillId="4" fontId="4" numFmtId="1" xfId="0" applyAlignment="1" applyBorder="1" applyFont="1" applyNumberFormat="1">
      <alignment horizontal="left" shrinkToFit="0" vertical="top" wrapText="1"/>
    </xf>
    <xf borderId="1" fillId="0" fontId="1" numFmtId="165" xfId="0" applyAlignment="1" applyBorder="1" applyFont="1" applyNumberFormat="1">
      <alignment horizontal="center" readingOrder="0" vertical="center"/>
    </xf>
    <xf borderId="1" fillId="0" fontId="9" numFmtId="165" xfId="0" applyAlignment="1" applyBorder="1" applyFont="1" applyNumberFormat="1">
      <alignment horizontal="center" vertical="center"/>
    </xf>
    <xf borderId="4" fillId="0" fontId="10" numFmtId="167" xfId="0" applyAlignment="1" applyBorder="1" applyFont="1" applyNumberFormat="1">
      <alignment horizontal="center" shrinkToFit="0" vertical="center" wrapText="1"/>
    </xf>
    <xf borderId="4" fillId="0" fontId="4"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0" numFmtId="165" xfId="0" applyAlignment="1" applyBorder="1" applyFont="1" applyNumberFormat="1">
      <alignment horizontal="center" shrinkToFit="0" vertical="center" wrapText="1"/>
    </xf>
    <xf borderId="4" fillId="0" fontId="10" numFmtId="164" xfId="0" applyAlignment="1" applyBorder="1" applyFont="1" applyNumberFormat="1">
      <alignment horizontal="center" readingOrder="0" shrinkToFit="0" vertical="center" wrapText="1"/>
    </xf>
    <xf borderId="1" fillId="0" fontId="10" numFmtId="3" xfId="0" applyAlignment="1" applyBorder="1" applyFont="1" applyNumberFormat="1">
      <alignment horizontal="center" shrinkToFit="0" vertical="center" wrapText="1"/>
    </xf>
    <xf borderId="4" fillId="0" fontId="10" numFmtId="3" xfId="0" applyAlignment="1" applyBorder="1" applyFont="1" applyNumberFormat="1">
      <alignment horizontal="center" shrinkToFit="0" vertical="center" wrapText="1"/>
    </xf>
    <xf borderId="4" fillId="0" fontId="10" numFmtId="3" xfId="0" applyAlignment="1" applyBorder="1" applyFont="1" applyNumberFormat="1">
      <alignment horizontal="center" readingOrder="0" vertical="center"/>
    </xf>
    <xf borderId="4" fillId="0" fontId="10" numFmtId="0" xfId="0" applyBorder="1" applyFont="1"/>
    <xf borderId="4" fillId="0" fontId="10" numFmtId="0" xfId="0" applyAlignment="1" applyBorder="1" applyFont="1">
      <alignment horizontal="center" readingOrder="0" shrinkToFit="0" vertical="center" wrapText="1"/>
    </xf>
    <xf borderId="4" fillId="0" fontId="10" numFmtId="0" xfId="0" applyAlignment="1" applyBorder="1" applyFont="1">
      <alignment horizontal="left" readingOrder="0" shrinkToFit="0" vertical="top" wrapText="1"/>
    </xf>
    <xf borderId="1" fillId="5" fontId="12" numFmtId="0" xfId="0" applyAlignment="1" applyBorder="1" applyFill="1" applyFont="1">
      <alignment horizontal="center" readingOrder="0" shrinkToFit="0" vertical="center" wrapText="1"/>
    </xf>
    <xf borderId="1" fillId="5" fontId="13" numFmtId="0" xfId="0" applyAlignment="1" applyBorder="1" applyFont="1">
      <alignment horizontal="center" readingOrder="0" shrinkToFit="0" vertical="center" wrapText="1"/>
    </xf>
    <xf borderId="1" fillId="5" fontId="12" numFmtId="165" xfId="0" applyAlignment="1" applyBorder="1" applyFont="1" applyNumberFormat="1">
      <alignment horizontal="center" readingOrder="0" shrinkToFit="0" vertical="center" wrapText="1"/>
    </xf>
    <xf borderId="1" fillId="5" fontId="13" numFmtId="165" xfId="0" applyAlignment="1" applyBorder="1" applyFont="1" applyNumberFormat="1">
      <alignment horizontal="center" readingOrder="0" shrinkToFit="0" vertical="center" wrapText="1"/>
    </xf>
    <xf borderId="1" fillId="5" fontId="12" numFmtId="3" xfId="0" applyAlignment="1" applyBorder="1" applyFont="1" applyNumberFormat="1">
      <alignment horizontal="center" readingOrder="0" vertical="center"/>
    </xf>
    <xf borderId="1" fillId="5" fontId="13" numFmtId="164" xfId="0" applyAlignment="1" applyBorder="1" applyFont="1" applyNumberFormat="1">
      <alignment horizontal="center" readingOrder="0" shrinkToFit="0" vertical="center" wrapText="1"/>
    </xf>
    <xf borderId="1" fillId="5" fontId="13" numFmtId="3" xfId="0" applyAlignment="1" applyBorder="1" applyFont="1" applyNumberFormat="1">
      <alignment horizontal="center" readingOrder="0" shrinkToFit="0" vertical="center" wrapText="1"/>
    </xf>
    <xf borderId="1" fillId="5" fontId="13" numFmtId="3" xfId="0" applyAlignment="1" applyBorder="1" applyFont="1" applyNumberFormat="1">
      <alignment horizontal="center" readingOrder="0" vertical="center"/>
    </xf>
    <xf borderId="1" fillId="5" fontId="13" numFmtId="165" xfId="0" applyAlignment="1" applyBorder="1" applyFont="1" applyNumberFormat="1">
      <alignment horizontal="center" readingOrder="0" vertical="center"/>
    </xf>
    <xf borderId="1" fillId="5" fontId="13" numFmtId="165" xfId="0" applyAlignment="1" applyBorder="1" applyFont="1" applyNumberFormat="1">
      <alignment horizontal="center" vertical="center"/>
    </xf>
    <xf borderId="1" fillId="5" fontId="13" numFmtId="9" xfId="0" applyAlignment="1" applyBorder="1" applyFont="1" applyNumberFormat="1">
      <alignment horizontal="center" vertical="center"/>
    </xf>
    <xf borderId="1" fillId="5" fontId="13" numFmtId="1" xfId="0" applyAlignment="1" applyBorder="1" applyFont="1" applyNumberFormat="1">
      <alignment horizontal="center" shrinkToFit="0" vertical="center" wrapText="1"/>
    </xf>
    <xf borderId="1" fillId="5" fontId="13" numFmtId="167" xfId="0" applyAlignment="1" applyBorder="1" applyFont="1" applyNumberFormat="1">
      <alignment horizontal="center" shrinkToFit="0" vertical="center" wrapText="1"/>
    </xf>
    <xf borderId="1" fillId="5" fontId="13" numFmtId="0" xfId="0" applyAlignment="1" applyBorder="1" applyFont="1">
      <alignment horizontal="left" readingOrder="0" shrinkToFit="0" vertical="top" wrapText="1"/>
    </xf>
    <xf borderId="1" fillId="0" fontId="4" numFmtId="9" xfId="0" applyAlignment="1" applyBorder="1" applyFont="1" applyNumberFormat="1">
      <alignment horizontal="center" vertical="center"/>
    </xf>
    <xf borderId="1" fillId="0" fontId="1" numFmtId="3" xfId="0" applyAlignment="1" applyBorder="1" applyFont="1" applyNumberFormat="1">
      <alignment horizontal="center" readingOrder="0" vertical="center"/>
    </xf>
    <xf borderId="1" fillId="0" fontId="14" numFmtId="0" xfId="0" applyAlignment="1" applyBorder="1" applyFont="1">
      <alignment horizontal="center" readingOrder="0" shrinkToFit="0" vertical="center" wrapText="1"/>
    </xf>
    <xf borderId="1" fillId="0" fontId="15" numFmtId="9" xfId="0" applyAlignment="1" applyBorder="1" applyFont="1" applyNumberFormat="1">
      <alignment horizontal="center" vertical="center"/>
    </xf>
    <xf borderId="1" fillId="6" fontId="16" numFmtId="1" xfId="0" applyAlignment="1" applyBorder="1" applyFill="1" applyFont="1" applyNumberFormat="1">
      <alignment horizontal="center" shrinkToFit="0" vertical="center" wrapText="1"/>
    </xf>
    <xf borderId="1" fillId="0" fontId="4" numFmtId="166" xfId="0" applyAlignment="1" applyBorder="1" applyFont="1" applyNumberFormat="1">
      <alignment horizontal="center" readingOrder="0" shrinkToFit="0" vertical="center" wrapText="1"/>
    </xf>
    <xf borderId="1" fillId="0" fontId="17" numFmtId="165" xfId="0" applyAlignment="1" applyBorder="1" applyFont="1" applyNumberFormat="1">
      <alignment horizontal="center" readingOrder="0" vertical="center"/>
    </xf>
    <xf borderId="3" fillId="4" fontId="7" numFmtId="0" xfId="0" applyAlignment="1" applyBorder="1" applyFont="1">
      <alignment horizontal="center" readingOrder="0" shrinkToFit="0" vertical="center" wrapText="1"/>
    </xf>
    <xf borderId="4" fillId="4" fontId="7" numFmtId="0" xfId="0" applyAlignment="1" applyBorder="1" applyFont="1">
      <alignment horizontal="center" readingOrder="0" shrinkToFit="0" vertical="center" wrapText="1"/>
    </xf>
    <xf borderId="1" fillId="4" fontId="1" numFmtId="0" xfId="0" applyAlignment="1" applyBorder="1" applyFont="1">
      <alignment horizontal="center" vertical="center"/>
    </xf>
    <xf borderId="1" fillId="7" fontId="18" numFmtId="3" xfId="0" applyAlignment="1" applyBorder="1" applyFill="1" applyFont="1" applyNumberFormat="1">
      <alignment horizontal="center" readingOrder="0" vertical="center"/>
    </xf>
    <xf borderId="1" fillId="0" fontId="1" numFmtId="165" xfId="0" applyAlignment="1" applyBorder="1" applyFont="1" applyNumberFormat="1">
      <alignment horizontal="center" vertical="center"/>
    </xf>
    <xf borderId="0" fillId="0" fontId="19" numFmtId="0" xfId="0" applyAlignment="1" applyFont="1">
      <alignment readingOrder="0"/>
    </xf>
    <xf borderId="1" fillId="0" fontId="1" numFmtId="9" xfId="0" applyAlignment="1" applyBorder="1" applyFont="1" applyNumberFormat="1">
      <alignment horizontal="center" vertical="center"/>
    </xf>
    <xf borderId="1" fillId="0" fontId="1" numFmtId="1" xfId="0" applyAlignment="1" applyBorder="1" applyFont="1" applyNumberFormat="1">
      <alignment horizontal="center" shrinkToFit="0" vertical="center" wrapText="1"/>
    </xf>
    <xf borderId="1" fillId="0" fontId="1" numFmtId="0" xfId="0" applyAlignment="1" applyBorder="1" applyFont="1">
      <alignment readingOrder="0" shrinkToFit="0" wrapText="1"/>
    </xf>
    <xf borderId="1" fillId="0" fontId="9" numFmtId="165" xfId="0" applyAlignment="1" applyBorder="1" applyFont="1" applyNumberForma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4" numFmtId="0" xfId="0" applyAlignment="1" applyBorder="1" applyFont="1">
      <alignment readingOrder="0" shrinkToFit="0" wrapText="1"/>
    </xf>
    <xf borderId="0" fillId="7" fontId="18" numFmtId="165" xfId="0" applyAlignment="1" applyFont="1" applyNumberFormat="1">
      <alignment horizontal="center" readingOrder="0" vertical="center"/>
    </xf>
    <xf borderId="1" fillId="0" fontId="21" numFmtId="1" xfId="0" applyAlignment="1" applyBorder="1" applyFont="1" applyNumberFormat="1">
      <alignment horizontal="center" shrinkToFit="0" vertical="center" wrapText="1"/>
    </xf>
    <xf borderId="1" fillId="7" fontId="18" numFmtId="165" xfId="0" applyAlignment="1" applyBorder="1" applyFont="1" applyNumberFormat="1">
      <alignment horizontal="center" readingOrder="0" vertical="center"/>
    </xf>
    <xf borderId="0" fillId="8" fontId="7" numFmtId="0" xfId="0" applyAlignment="1" applyFill="1" applyFont="1">
      <alignment horizontal="center" readingOrder="0" vertical="center"/>
    </xf>
    <xf borderId="0" fillId="8" fontId="8" numFmtId="0" xfId="0" applyAlignment="1" applyFont="1">
      <alignment horizontal="center" readingOrder="0" vertical="center"/>
    </xf>
    <xf borderId="2" fillId="0" fontId="22" numFmtId="0" xfId="0" applyAlignment="1" applyBorder="1" applyFont="1">
      <alignment horizontal="center" readingOrder="0" shrinkToFit="0" vertical="center" wrapText="1"/>
    </xf>
    <xf borderId="2" fillId="0" fontId="9" numFmtId="0" xfId="0" applyAlignment="1" applyBorder="1" applyFont="1">
      <alignment horizontal="center" vertical="center"/>
    </xf>
    <xf borderId="1" fillId="0" fontId="4" numFmtId="168" xfId="0" applyAlignment="1" applyBorder="1" applyFont="1" applyNumberFormat="1">
      <alignment horizontal="center" readingOrder="0" shrinkToFit="0" vertical="center" wrapText="1"/>
    </xf>
    <xf borderId="1" fillId="0" fontId="17" numFmtId="0" xfId="0" applyAlignment="1" applyBorder="1" applyFont="1">
      <alignment horizontal="center" readingOrder="0" shrinkToFit="0" vertical="center" wrapText="1"/>
    </xf>
    <xf borderId="0" fillId="4" fontId="23" numFmtId="0" xfId="0" applyAlignment="1" applyFont="1">
      <alignment readingOrder="0"/>
    </xf>
    <xf borderId="0" fillId="4" fontId="4" numFmtId="0" xfId="0" applyFont="1"/>
    <xf borderId="0" fillId="4" fontId="4" numFmtId="0" xfId="0" applyAlignment="1" applyFont="1">
      <alignment horizontal="center" readingOrder="0" vertical="center"/>
    </xf>
    <xf borderId="0" fillId="4" fontId="7" numFmtId="0" xfId="0" applyAlignment="1" applyFont="1">
      <alignment horizontal="center" readingOrder="0" shrinkToFit="0" vertical="center" wrapText="1"/>
    </xf>
    <xf borderId="1" fillId="0" fontId="9" numFmtId="165" xfId="0" applyAlignment="1" applyBorder="1" applyFont="1" applyNumberFormat="1">
      <alignment horizontal="center" readingOrder="0" vertical="center"/>
    </xf>
    <xf borderId="1" fillId="3" fontId="4" numFmtId="0" xfId="0" applyAlignment="1" applyBorder="1" applyFont="1">
      <alignment horizontal="center" readingOrder="0" vertical="center"/>
    </xf>
    <xf borderId="1" fillId="0" fontId="4" numFmtId="165" xfId="0" applyAlignment="1" applyBorder="1" applyFont="1" applyNumberFormat="1">
      <alignment horizontal="center" shrinkToFit="0" vertical="center" wrapText="1"/>
    </xf>
    <xf borderId="1" fillId="0" fontId="1" numFmtId="0" xfId="0" applyAlignment="1" applyBorder="1" applyFont="1">
      <alignment horizontal="center" readingOrder="0" vertical="center"/>
    </xf>
    <xf borderId="1" fillId="9" fontId="14" numFmtId="0" xfId="0" applyAlignment="1" applyBorder="1" applyFill="1" applyFont="1">
      <alignment horizontal="center" readingOrder="0" shrinkToFit="0" vertical="center" wrapText="1"/>
    </xf>
    <xf borderId="1" fillId="9" fontId="4" numFmtId="0" xfId="0" applyAlignment="1" applyBorder="1" applyFont="1">
      <alignment horizontal="center" vertical="center"/>
    </xf>
    <xf borderId="1" fillId="2" fontId="4" numFmtId="0" xfId="0" applyAlignment="1" applyBorder="1" applyFont="1">
      <alignment horizontal="center" vertical="center"/>
    </xf>
    <xf borderId="1" fillId="9" fontId="4" numFmtId="0" xfId="0" applyAlignment="1" applyBorder="1" applyFont="1">
      <alignment horizontal="center" readingOrder="0" vertical="center"/>
    </xf>
    <xf borderId="1" fillId="9" fontId="4" numFmtId="165" xfId="0" applyAlignment="1" applyBorder="1" applyFont="1" applyNumberFormat="1">
      <alignment horizontal="center" readingOrder="0" shrinkToFit="0" vertical="center" wrapText="1"/>
    </xf>
    <xf borderId="1" fillId="9" fontId="4" numFmtId="165" xfId="0" applyAlignment="1" applyBorder="1" applyFont="1" applyNumberFormat="1">
      <alignment horizontal="center" shrinkToFit="0" vertical="center" wrapText="1"/>
    </xf>
    <xf borderId="1" fillId="9" fontId="1" numFmtId="3" xfId="0" applyAlignment="1" applyBorder="1" applyFont="1" applyNumberFormat="1">
      <alignment horizontal="center" readingOrder="0" shrinkToFit="0" vertical="center" wrapText="1"/>
    </xf>
    <xf borderId="1" fillId="9" fontId="1" numFmtId="3" xfId="0" applyAlignment="1" applyBorder="1" applyFont="1" applyNumberFormat="1">
      <alignment horizontal="center" readingOrder="0" vertical="center"/>
    </xf>
    <xf borderId="0" fillId="9" fontId="4" numFmtId="0" xfId="0" applyAlignment="1" applyFont="1">
      <alignment horizontal="center" shrinkToFit="0" vertical="center" wrapText="1"/>
    </xf>
    <xf borderId="0" fillId="9" fontId="4" numFmtId="0" xfId="0" applyFont="1"/>
    <xf borderId="0" fillId="9" fontId="4" numFmtId="0" xfId="0" applyAlignment="1" applyFont="1">
      <alignment horizontal="center" vertical="center"/>
    </xf>
    <xf borderId="1" fillId="9" fontId="1" numFmtId="165" xfId="0" applyAlignment="1" applyBorder="1" applyFont="1" applyNumberFormat="1">
      <alignment horizontal="center" readingOrder="0" vertical="center"/>
    </xf>
    <xf borderId="1" fillId="9" fontId="1" numFmtId="0" xfId="0" applyAlignment="1" applyBorder="1" applyFont="1">
      <alignment horizontal="center" readingOrder="0" vertical="center"/>
    </xf>
    <xf borderId="1" fillId="9" fontId="1" numFmtId="0" xfId="0" applyAlignment="1" applyBorder="1" applyFont="1">
      <alignment horizontal="center" readingOrder="0" shrinkToFit="0" vertical="center" wrapText="1"/>
    </xf>
    <xf borderId="1" fillId="9" fontId="1" numFmtId="1" xfId="0" applyAlignment="1" applyBorder="1" applyFont="1" applyNumberFormat="1">
      <alignment horizontal="center" readingOrder="0" shrinkToFit="0" vertical="center" wrapText="1"/>
    </xf>
    <xf borderId="1" fillId="9" fontId="4" numFmtId="0" xfId="0" applyAlignment="1" applyBorder="1" applyFont="1">
      <alignment horizontal="center" readingOrder="0" shrinkToFit="0" vertical="center" wrapText="1"/>
    </xf>
    <xf borderId="1" fillId="9" fontId="4" numFmtId="0" xfId="0" applyAlignment="1" applyBorder="1" applyFont="1">
      <alignment horizontal="left" readingOrder="0" shrinkToFit="0" vertical="top" wrapText="1"/>
    </xf>
    <xf borderId="1" fillId="0" fontId="1" numFmtId="3" xfId="0" applyAlignment="1" applyBorder="1" applyFont="1" applyNumberForma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vertical="center"/>
    </xf>
    <xf borderId="1" fillId="0" fontId="1" numFmtId="3" xfId="0" applyAlignment="1" applyBorder="1" applyFont="1" applyNumberFormat="1">
      <alignment horizontal="center" vertical="center"/>
    </xf>
    <xf borderId="5" fillId="0" fontId="1" numFmtId="165" xfId="0" applyAlignment="1" applyBorder="1" applyFont="1" applyNumberFormat="1">
      <alignment horizontal="center" readingOrder="0" shrinkToFit="0" vertical="center" wrapText="1"/>
    </xf>
    <xf borderId="1" fillId="5" fontId="3"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0" fillId="2" fontId="4" numFmtId="0" xfId="0" applyAlignment="1" applyFont="1">
      <alignment horizontal="center" vertical="center"/>
    </xf>
    <xf borderId="0" fillId="0" fontId="4" numFmtId="165" xfId="0" applyAlignment="1" applyFont="1" applyNumberFormat="1">
      <alignment horizontal="center" shrinkToFit="0" vertical="center" wrapText="1"/>
    </xf>
    <xf borderId="0" fillId="0" fontId="1" numFmtId="3" xfId="0" applyAlignment="1" applyFont="1" applyNumberFormat="1">
      <alignment horizontal="center" readingOrder="0" shrinkToFit="0" vertical="center" wrapText="1"/>
    </xf>
    <xf borderId="6" fillId="0" fontId="4" numFmtId="0" xfId="0" applyBorder="1" applyFont="1"/>
    <xf borderId="1" fillId="5" fontId="4" numFmtId="0" xfId="0" applyAlignment="1" applyBorder="1" applyFont="1">
      <alignment horizontal="center" readingOrder="0" shrinkToFit="0" vertical="center" wrapText="1"/>
    </xf>
    <xf borderId="1" fillId="5" fontId="1" numFmtId="9" xfId="0" applyAlignment="1" applyBorder="1" applyFont="1" applyNumberFormat="1">
      <alignment horizontal="center" readingOrder="0" shrinkToFit="0" vertical="center" wrapText="1"/>
    </xf>
    <xf borderId="0" fillId="0" fontId="4" numFmtId="165" xfId="0" applyAlignment="1" applyFont="1" applyNumberFormat="1">
      <alignment horizontal="center" readingOrder="0" shrinkToFit="0" vertical="center" wrapText="1"/>
    </xf>
    <xf borderId="0" fillId="0" fontId="4" numFmtId="1" xfId="0" applyAlignment="1" applyFont="1" applyNumberFormat="1">
      <alignment horizontal="center" shrinkToFit="0" vertical="center" wrapText="1"/>
    </xf>
    <xf borderId="1" fillId="0" fontId="4" numFmtId="0" xfId="0" applyAlignment="1" applyBorder="1" applyFont="1">
      <alignment vertical="center"/>
    </xf>
    <xf borderId="0" fillId="0" fontId="4" numFmtId="0" xfId="0" applyAlignment="1" applyFont="1">
      <alignment horizontal="center" readingOrder="0" shrinkToFit="0" vertical="center" wrapText="1"/>
    </xf>
    <xf borderId="0" fillId="0" fontId="24" numFmtId="165" xfId="0" applyAlignment="1" applyFont="1" applyNumberFormat="1">
      <alignment horizontal="center" shrinkToFit="0" vertical="center" wrapText="1"/>
    </xf>
    <xf borderId="0" fillId="0" fontId="4" numFmtId="0" xfId="0" applyAlignment="1" applyFont="1">
      <alignment horizontal="center" readingOrder="0" vertical="center"/>
    </xf>
    <xf borderId="7" fillId="0" fontId="4" numFmtId="0" xfId="0" applyBorder="1" applyFont="1"/>
    <xf borderId="2" fillId="0" fontId="4" numFmtId="0" xfId="0" applyAlignment="1" applyBorder="1" applyFont="1">
      <alignment horizontal="right" readingOrder="0" vertical="center"/>
    </xf>
    <xf borderId="1" fillId="0" fontId="4" numFmtId="0" xfId="0" applyAlignment="1" applyBorder="1" applyFont="1">
      <alignment horizontal="right" readingOrder="0" vertical="center"/>
    </xf>
    <xf borderId="1" fillId="0" fontId="25" numFmtId="165" xfId="0" applyAlignment="1" applyBorder="1" applyFont="1" applyNumberFormat="1">
      <alignment horizontal="center" vertical="center"/>
    </xf>
    <xf borderId="1" fillId="5" fontId="4" numFmtId="0" xfId="0" applyAlignment="1" applyBorder="1" applyFont="1">
      <alignment horizontal="center" shrinkToFit="0" vertical="center" wrapText="1"/>
    </xf>
    <xf borderId="1" fillId="0" fontId="1" numFmtId="3" xfId="0" applyAlignment="1" applyBorder="1" applyFont="1" applyNumberFormat="1">
      <alignment horizontal="center" shrinkToFit="0" vertical="center" wrapText="1"/>
    </xf>
    <xf borderId="2" fillId="0" fontId="1" numFmtId="0" xfId="0" applyAlignment="1" applyBorder="1" applyFont="1">
      <alignment horizontal="right" readingOrder="0" vertical="center"/>
    </xf>
    <xf borderId="0" fillId="0" fontId="4" numFmtId="0" xfId="0" applyAlignment="1" applyFont="1">
      <alignment horizontal="left" shrinkToFit="0" vertical="top" wrapText="1"/>
    </xf>
    <xf borderId="0" fillId="0" fontId="4" numFmtId="165" xfId="0" applyAlignment="1" applyFont="1" applyNumberFormat="1">
      <alignment horizontal="center" vertical="center"/>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165" xfId="0" applyAlignment="1" applyFont="1" applyNumberFormat="1">
      <alignment horizontal="center" vertical="center"/>
    </xf>
    <xf borderId="1" fillId="0" fontId="26" numFmtId="165" xfId="0" applyAlignment="1" applyBorder="1" applyFont="1" applyNumberFormat="1">
      <alignment horizontal="center" vertical="center"/>
    </xf>
    <xf borderId="0" fillId="2" fontId="4" numFmtId="0" xfId="0" applyAlignment="1" applyFont="1">
      <alignment horizontal="center" readingOrder="0" vertical="center"/>
    </xf>
    <xf borderId="0" fillId="0" fontId="4" numFmtId="165" xfId="0" applyAlignment="1" applyFont="1" applyNumberFormat="1">
      <alignment horizontal="center" readingOrder="0" vertical="center"/>
    </xf>
    <xf borderId="1" fillId="0" fontId="1" numFmtId="0" xfId="0" applyAlignment="1" applyBorder="1" applyFont="1">
      <alignment horizontal="right" readingOrder="0" vertical="center"/>
    </xf>
    <xf borderId="0" fillId="0" fontId="4" numFmtId="165" xfId="0" applyFont="1" applyNumberFormat="1"/>
    <xf borderId="0" fillId="0" fontId="4" numFmtId="166" xfId="0" applyFont="1" applyNumberFormat="1"/>
    <xf borderId="0" fillId="0" fontId="4" numFmtId="0" xfId="0" applyAlignment="1" applyFont="1">
      <alignment readingOrder="0"/>
    </xf>
    <xf borderId="0" fillId="0" fontId="4" numFmtId="169" xfId="0" applyFont="1" applyNumberFormat="1"/>
    <xf borderId="1" fillId="0" fontId="4" numFmtId="165" xfId="0" applyAlignment="1" applyBorder="1" applyFont="1" applyNumberFormat="1">
      <alignment readingOrder="0"/>
    </xf>
    <xf borderId="1" fillId="0" fontId="4" numFmtId="0" xfId="0" applyAlignment="1" applyBorder="1" applyFont="1">
      <alignment readingOrder="0"/>
    </xf>
    <xf borderId="1" fillId="0" fontId="25" numFmtId="0" xfId="0" applyAlignment="1" applyBorder="1" applyFont="1">
      <alignment readingOrder="0"/>
    </xf>
    <xf borderId="1" fillId="0" fontId="4" numFmtId="165" xfId="0" applyBorder="1" applyFont="1" applyNumberFormat="1"/>
    <xf borderId="1" fillId="0" fontId="4" numFmtId="0" xfId="0" applyBorder="1" applyFont="1"/>
    <xf borderId="1" fillId="3" fontId="4" numFmtId="165" xfId="0" applyBorder="1" applyFont="1" applyNumberFormat="1"/>
    <xf borderId="1" fillId="3" fontId="4" numFmtId="0" xfId="0" applyAlignment="1" applyBorder="1" applyFont="1">
      <alignment readingOrder="0"/>
    </xf>
    <xf borderId="1" fillId="3" fontId="4" numFmtId="0" xfId="0" applyBorder="1" applyFont="1"/>
    <xf borderId="0" fillId="3" fontId="4" numFmtId="0" xfId="0" applyFont="1"/>
    <xf borderId="1" fillId="10" fontId="4" numFmtId="165" xfId="0" applyBorder="1" applyFill="1" applyFont="1" applyNumberFormat="1"/>
    <xf borderId="1" fillId="10" fontId="4" numFmtId="0" xfId="0" applyAlignment="1" applyBorder="1" applyFont="1">
      <alignment readingOrder="0"/>
    </xf>
    <xf borderId="1" fillId="10" fontId="4" numFmtId="0" xfId="0" applyBorder="1" applyFont="1"/>
    <xf borderId="0" fillId="1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Year</a:t>
            </a:r>
          </a:p>
        </c:rich>
      </c:tx>
      <c:overlay val="0"/>
    </c:title>
    <c:plotArea>
      <c:layout/>
      <c:lineChart>
        <c:varyColors val="0"/>
        <c:ser>
          <c:idx val="0"/>
          <c:order val="0"/>
          <c:tx>
            <c:strRef>
              <c:f>Graph!$D$1</c:f>
            </c:strRef>
          </c:tx>
          <c:spPr>
            <a:ln cmpd="sng">
              <a:solidFill>
                <a:srgbClr val="4285F4"/>
              </a:solidFill>
            </a:ln>
          </c:spPr>
          <c:marker>
            <c:symbol val="none"/>
          </c:marker>
          <c:cat>
            <c:strRef>
              <c:f>Graph!$B$2:$B$28</c:f>
            </c:strRef>
          </c:cat>
          <c:val>
            <c:numRef>
              <c:f>Graph!$D$2:$D$28</c:f>
              <c:numCache/>
            </c:numRef>
          </c:val>
          <c:smooth val="0"/>
        </c:ser>
        <c:axId val="1727046628"/>
        <c:axId val="2072727620"/>
      </c:lineChart>
      <c:catAx>
        <c:axId val="172704662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year</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072727620"/>
      </c:catAx>
      <c:valAx>
        <c:axId val="2072727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727046628"/>
      </c:valAx>
    </c:plotArea>
    <c:legend>
      <c:legendPos val="r"/>
      <c:overlay val="0"/>
      <c:txPr>
        <a:bodyPr/>
        <a:lstStyle/>
        <a:p>
          <a:pPr lvl="0">
            <a:defRPr b="0">
              <a:solidFill>
                <a:srgbClr val="000000"/>
              </a:solidFill>
              <a:latin typeface="Roboto"/>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0</xdr:row>
      <xdr:rowOff>9525</xdr:rowOff>
    </xdr:from>
    <xdr:ext cx="2733675" cy="5924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8</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295275</xdr:colOff>
      <xdr:row>3</xdr:row>
      <xdr:rowOff>28575</xdr:rowOff>
    </xdr:from>
    <xdr:ext cx="5610225" cy="34004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 Chetin" id="{ff717a28-82c7-4d2f-ac80-f26f8e7b040e}" providerId="google-sheets"/>
  <x18tc:person displayName="Rıfat Erdem Sahin" id="{2c426b2f-4cc4-4c58-8a0e-cc3aa3f03053}" providerId="google-sheets"/>
  <x18tc:person displayName="kchetin@gmail.com" id="{c376831e-49ec-4dc4-a873-3ae2166b72db}" userId="kchetin@gmail.com" providerId="google-sheets"/>
  <x18tc:person displayName="ece.pakkan@gmail.com" id="{c568e294-1c96-42f9-b329-59ee728bdcee}" userId="ece.pakkan@gmail.com" providerId="google-sheets"/>
  <x18tc:person displayName="info@pexabo.com" id="{ec0500fd-d619-45d8-bf5d-f21022ff43e6}" userId="info@pexabo.com" providerId="google-sheets"/>
  <x18tc:person displayName="Rifat Erdem Sahin" id="{dc570ebd-0578-4748-9329-566b48e55660}"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K25" sheet="numbers"/>
  </cacheSource>
  <cacheFields>
    <cacheField name="year">
      <sharedItems containsMixedTypes="1" containsNumber="1" containsInteger="1">
        <n v="1990.0"/>
        <n v="1997.0"/>
        <n v="1998.0"/>
        <n v="1999.0"/>
        <n v="2000.0"/>
        <n v="2010.0"/>
        <s v="SABBATICAL PIVOTS&gt; ILKON OUT/2m out &gt; Self Learn : Employment"/>
        <n v="2011.0"/>
        <n v="2012.0"/>
        <n v="2013.0"/>
        <n v="2014.0"/>
        <n v="2015.0"/>
        <n v="2016.0"/>
        <s v="SABBATICAL PIVOTS &gt; MS OUT&gt;coup &gt; Self Learn : PaperWork Gateways"/>
        <n v="2017.0"/>
        <n v="2018.0"/>
        <n v="2019.0"/>
      </sharedItems>
    </cacheField>
    <cacheField name="Age &gt; born 1980" numFmtId="0">
      <sharedItems containsString="0" containsBlank="1" containsNumber="1" containsInteger="1">
        <n v="10.0"/>
        <m/>
        <n v="19.0"/>
        <n v="20.0"/>
        <n v="30.0"/>
        <n v="31.0"/>
        <n v="32.0"/>
        <n v="33.0"/>
        <n v="34.0"/>
        <n v="35.0"/>
        <n v="36.0"/>
        <n v="37.0"/>
        <n v="38.0"/>
        <n v="39.0"/>
      </sharedItems>
    </cacheField>
    <cacheField name="Net Money in the bank ( Worth )( spending )" numFmtId="0">
      <sharedItems containsString="0" containsBlank="1" containsNumber="1" containsInteger="1">
        <n v="10.0"/>
        <m/>
        <n v="0.0"/>
        <n v="200.0"/>
        <n v="1.0"/>
        <n v="2.0"/>
        <n v="5.0"/>
        <n v="20.0"/>
        <n v="30.0"/>
        <n v="40.0"/>
      </sharedItems>
    </cacheField>
    <cacheField name="Debt ( GBP K )" numFmtId="0">
      <sharedItems containsString="0" containsBlank="1" containsNumber="1" containsInteger="1">
        <n v="0.0"/>
        <m/>
        <n v="30.0"/>
        <n v="10.0"/>
        <n v="20.0"/>
      </sharedItems>
    </cacheField>
    <cacheField name="Net Position" numFmtId="0">
      <sharedItems containsString="0" containsBlank="1" containsNumber="1" containsInteger="1">
        <n v="10.0"/>
        <n v="0.0"/>
        <n v="200.0"/>
        <n v="-20.0"/>
        <m/>
        <n v="1.0"/>
        <n v="2.0"/>
        <n v="5.0"/>
        <n v="-10.0"/>
        <n v="20.0"/>
        <n v="30.0"/>
        <n v="40.0"/>
      </sharedItems>
    </cacheField>
    <cacheField name="Financial Baby Step" numFmtId="0">
      <sharedItems containsString="0" containsBlank="1" containsNumber="1" containsInteger="1">
        <n v="1.0"/>
        <m/>
        <n v="2.0"/>
        <n v="3.0"/>
      </sharedItems>
    </cacheField>
    <cacheField name="Rationale" numFmtId="0">
      <sharedItems containsBlank="1">
        <s v="Experiment ( success driven )"/>
        <m/>
        <s v="Experiment ( failure driven )"/>
        <s v="Bring Us to Tr       ( success driven)"/>
        <s v="Existential , Experiment"/>
        <s v="Existential"/>
        <s v="Marketing Leverage"/>
        <s v="Antifragility"/>
      </sharedItems>
    </cacheField>
    <cacheField name="Type" numFmtId="0">
      <sharedItems containsBlank="1">
        <s v="I"/>
        <m/>
        <s v="S"/>
        <s v="E"/>
        <s v="E&gt;S"/>
      </sharedItems>
    </cacheField>
    <cacheField name="Work Structure" numFmtId="0">
      <sharedItems containsBlank="1">
        <s v="Probabilistic"/>
        <s v="Deterministic"/>
        <s v="Deterministic - Probabilistic"/>
        <m/>
        <s v="Deterministic / Probabilistic"/>
      </sharedItems>
    </cacheField>
    <cacheField name="Market" numFmtId="0">
      <sharedItems containsBlank="1">
        <s v="Financial"/>
        <s v="Education"/>
        <s v="Real Estate"/>
        <s v="Dev"/>
        <m/>
        <s v="Dev to Ops"/>
        <s v="DevOps"/>
      </sharedItems>
    </cacheField>
    <cacheField name="Company Lead" numFmtId="0">
      <sharedItems containsBlank="1">
        <s v="Stock market"/>
        <s v="School"/>
        <s v="AFS"/>
        <s v="tutor"/>
        <s v="ilkon"/>
        <s v="enterpro - turkcell / estore"/>
        <m/>
        <s v="prominds"/>
        <s v="bilgeadam"/>
        <s v="wordego - ece"/>
        <s v="ages"/>
        <s v="btctrader devops lead"/>
        <s v="Accenture"/>
        <s v="Microsoft"/>
        <s v="kariyermimari"/>
        <s v="holovis contract"/>
        <s v="ticket arena contract"/>
        <s v="scottish enterprise contract"/>
        <s v="craneware contract"/>
        <s v="mmt contract"/>
        <s v="rbr contract"/>
        <s v="smartspace"/>
        <s v="concentra  contract "/>
      </sharedItems>
    </cacheField>
    <cacheField name="Ocean Type" numFmtId="0">
      <sharedItems containsBlank="1">
        <s v="Red"/>
        <m/>
        <s v="Blue"/>
      </sharedItems>
    </cacheField>
    <cacheField name="Government" numFmtId="0">
      <sharedItems containsString="0" containsBlank="1" containsNumber="1" containsInteger="1">
        <n v="0.0"/>
        <m/>
        <n v="1.0"/>
      </sharedItems>
    </cacheField>
    <cacheField name="BCI Direction     ( v SRE/ DEVOPS ^)" numFmtId="0">
      <sharedItems containsBlank="1">
        <s v="UP"/>
        <s v="DOWN"/>
        <m/>
      </sharedItems>
    </cacheField>
    <cacheField name="Trending Keywords And Direction" numFmtId="0">
      <sharedItems containsBlank="1">
        <s v="Stocks down"/>
        <s v="Math down"/>
        <s v="USA up"/>
        <s v="Self Learning Up"/>
        <s v="Real Estate Down Franchise Up Brokerage Down"/>
        <s v=" wgggg"/>
        <m/>
        <s v="Software Up"/>
        <s v="DevOps Up"/>
        <s v="Gaming Down"/>
      </sharedItems>
    </cacheField>
    <cacheField name="Passport Access" numFmtId="0">
      <sharedItems containsString="0" containsBlank="1" containsNumber="1" containsInteger="1">
        <n v="111.0"/>
        <m/>
        <n v="112.0"/>
      </sharedItems>
    </cacheField>
    <cacheField name="Security Clearance" numFmtId="0">
      <sharedItems containsBlank="1">
        <s v="-"/>
        <m/>
        <s v="BPSS"/>
        <s v="background check "/>
      </sharedItems>
    </cacheField>
    <cacheField name="whyhired(Upsell) / =&gt; whatadded?(Leverage/Antifragile)" numFmtId="0">
      <sharedItems containsBlank="1">
        <s v="extracapital/financialgame"/>
        <s v="Problem focused / English"/>
        <s v="English  / multi culture workflows"/>
        <s v="problems with learning / gadgets, mobile customer development"/>
        <s v="family extra capital / generalist,design patterns,pocs,microservices, teamwork,salesman,broker,franchisor,asistant manager"/>
        <s v="willing to start / introduction to contracting"/>
        <m/>
        <s v="zero to jump / enterprise sales"/>
        <s v="skills gap / take the leap, learn and teach"/>
        <s v="connect dots / learn aws"/>
        <s v="team work / try new site 24x7"/>
        <s v="teamwork(mohammad),cloud,trynew,snhu / azure,devops build,release pipelines"/>
        <s v="afs,snhu,teamwork,design patterns / Estimations, Brand name,marketing with freelancer,costumes"/>
        <s v="teamwork,azure / Brand name , USA, Microsoft tools, Service Fabric Azure"/>
        <s v="tutoring sessions / Lean unity 3d"/>
        <s v="Unity3d, Azure,English / get the initial UK Contract"/>
        <s v="Azure , Service Fabric / Microservices, DevOps Contracting"/>
        <s v="move there, Azure , teamwork, devops / Pipelines by Microsoft, negotiate contracts, marketing in contracts, security clerance"/>
        <s v="move there, Azure , devops / Chatops automation"/>
        <s v="move there, architecture, teamwork, Azure , devops / ASE Contracts"/>
        <s v="move there, Azure , devops / Kubernetes, Gaming  clubs"/>
        <s v="move there, Azure , devops, Service Fabric / Gaming  clubs, London contract, Octopus"/>
        <s v="azure, microsoft / london contract, pthyon"/>
      </sharedItems>
    </cacheField>
    <cacheField name="Audience" numFmtId="0">
      <sharedItems containsBlank="1">
        <s v="Family"/>
        <s v="Family ( host )"/>
        <s v="a levels"/>
        <s v="Turkish real estate entry"/>
        <s v="Turkish enterprises"/>
        <m/>
        <s v="Class room based learnign teens"/>
        <s v="Enterprise Turkey management level "/>
        <s v="Enterprises Global"/>
        <s v="Class room based learning teens"/>
        <s v="Uk enterprises"/>
      </sharedItems>
    </cacheField>
    <cacheField name="Marketing Type" numFmtId="0">
      <sharedItems containsBlank="1">
        <s v="Push"/>
        <m/>
        <s v="Pull / Push"/>
      </sharedItems>
    </cacheField>
    <cacheField name="Lead Source" numFmtId="0">
      <sharedItems containsBlank="1">
        <s v="Own Fantasy domestic"/>
        <m/>
        <s v="Local referals"/>
        <s v="Local cold calling, Domestic cold calling"/>
        <s v="network referral"/>
        <s v="domestic portal application local jobs"/>
        <s v="global portal application"/>
      </sharedItems>
    </cacheField>
    <cacheField name="Passport/Visa" numFmtId="0">
      <sharedItems containsBlank="1">
        <s v="Turkish Passport"/>
        <m/>
        <s v="Turkish Passport + ECAA"/>
      </sharedItems>
    </cacheField>
    <cacheField name="Productivity ( Speed &gt; Reuse skills,materials(code,machines))" numFmtId="0">
      <sharedItems containsString="0" containsBlank="1" containsNumber="1" containsInteger="1">
        <n v="1.0"/>
        <m/>
        <n v="2.0"/>
        <n v="3.0"/>
        <n v="4.0"/>
        <n v="5.0"/>
        <n v="6.0"/>
        <n v="7.0"/>
        <n v="8.0"/>
        <n v="9.0"/>
      </sharedItems>
    </cacheField>
    <cacheField name="Materials" numFmtId="3">
      <sharedItems containsBlank="1">
        <s v="Newspaper"/>
        <m/>
        <s v="laptop"/>
        <s v="office spaces x3"/>
        <s v="their computer"/>
        <s v="their computer / mine"/>
        <s v="their computer/aws"/>
        <s v="their computer/on prem"/>
        <s v="their computer/azure"/>
        <s v="their computers/X"/>
        <s v="mylaptop"/>
        <s v="my laptop / my 40 item bag"/>
        <s v="my laptop / my 2 bag"/>
        <s v="my laptop / home studio"/>
      </sharedItems>
    </cacheField>
    <cacheField name="COUNTRY" numFmtId="3">
      <sharedItems containsBlank="1">
        <s v="TR"/>
        <m/>
        <s v="X &gt; GAP : Family to Inland ( oblomov Land ^^^ )"/>
        <s v="E to S &gt; Gap : 7 month  - VISA"/>
        <s v="UK"/>
      </sharedItems>
    </cacheField>
    <cacheField name="location city " numFmtId="3">
      <sharedItems containsBlank="1">
        <s v="ankara"/>
        <m/>
        <s v="istanbul"/>
        <s v="istanbul - maslak"/>
        <s v="istanbul - besiktas - sisli"/>
        <s v="istanbul - avcilar"/>
        <s v="istanbul - sisli"/>
        <s v="Gebze"/>
        <s v="istanbul - levent - ankara - izmir - eskisehir"/>
        <s v="uk -rugby"/>
        <s v="uk - leeds"/>
        <s v="uk - scotland - glasgow"/>
        <s v="uk - scotland - edinburgh"/>
        <s v="uk - uppingham"/>
        <s v="uk - nottingham"/>
        <s v="uk -luton"/>
        <s v="UK- london"/>
      </sharedItems>
    </cacheField>
    <cacheField name="delivery" numFmtId="3">
      <sharedItems containsBlank="1">
        <s v="onsite"/>
        <m/>
      </sharedItems>
    </cacheField>
    <cacheField name="mobility(km)" numFmtId="3">
      <sharedItems containsString="0" containsBlank="1" containsNumber="1" containsInteger="1">
        <n v="0.0"/>
        <m/>
        <n v="1.0"/>
        <n v="100.0"/>
        <n v="10.0"/>
        <n v="15.0"/>
        <n v="30.0"/>
        <n v="5.0"/>
        <n v="800.0"/>
        <n v="2000.0"/>
        <n v="300.0"/>
        <n v="250.0"/>
        <n v="200.0"/>
        <n v="150.0"/>
      </sharedItems>
    </cacheField>
    <cacheField name="concurrency " numFmtId="164">
      <sharedItems containsString="0" containsBlank="1" containsNumber="1">
        <n v="1.0"/>
        <m/>
        <n v="1.1"/>
        <n v="3.0"/>
        <n v="2.0"/>
      </sharedItems>
    </cacheField>
    <cacheField name="tax status" numFmtId="0">
      <sharedItems containsBlank="1">
        <m/>
        <s v="outside ir35"/>
      </sharedItems>
    </cacheField>
    <cacheField name="role" numFmtId="3">
      <sharedItems containsBlank="1">
        <s v="investor"/>
        <m/>
        <s v="teacher"/>
        <s v="E(handson/tech),S(realestate/manage),B(franchise/scale/market),i(realestate/bookstore/investing), salesman - broker -franchiser - cto"/>
        <s v="tester - business analysis - contract -  remote"/>
        <s v="teacher - tutor"/>
        <s v="senior developer - architect"/>
        <s v="manager"/>
        <s v="manager - poc - architect : support"/>
        <s v="sales architect"/>
        <s v="teacher - tutor : unity"/>
        <s v="handson architect (developer ): support : unity"/>
        <s v="devops engineer"/>
        <s v="handson architect : support"/>
        <s v="architect : engineer"/>
        <s v="devops engineer "/>
      </sharedItems>
    </cacheField>
    <cacheField name="Duration month" numFmtId="3">
      <sharedItems containsString="0" containsBlank="1" containsNumber="1" containsInteger="1">
        <n v="48.0"/>
        <m/>
        <n v="12.0"/>
        <n v="108.0"/>
        <n v="3.0"/>
        <n v="6.0"/>
        <n v="8.0"/>
        <n v="9.0"/>
        <n v="11.0"/>
        <n v="10.0"/>
        <n v="1.0"/>
        <n v="2.0"/>
        <n v="5.0"/>
        <n v="7.0"/>
      </sharedItems>
    </cacheField>
    <cacheField name="type2" numFmtId="165">
      <sharedItems containsBlank="1">
        <s v="investing Wannabe"/>
        <m/>
        <s v="small business"/>
        <s v="Big Business Wannabe"/>
        <s v="Family Business"/>
        <s v="Employee"/>
      </sharedItems>
    </cacheField>
    <cacheField name="Skills Added Symbols" numFmtId="165">
      <sharedItems containsBlank="1">
        <s v="Turkish Read Write"/>
        <s v="First Principles"/>
        <s v="English "/>
        <s v="Instruction"/>
        <s v="tester,POEAA,.net ,CSharp,SQL"/>
        <s v="Marketing,Sales,Oracle,Migrations,CRM, Salesforce.com"/>
        <m/>
        <s v="Excel, MVC, Tech Presentation"/>
        <s v="Java,Android,Eclipse"/>
        <s v="JQuery,Redis,AWS"/>
        <s v="Site24x7,Dependency Injection"/>
        <s v="DevOps,Azure,Rackspace"/>
        <s v="Management,SonarQube"/>
        <s v="Azure, Networks, Cloud Computing"/>
        <s v="Unity 3d, Unreal"/>
        <s v="Immigration"/>
        <s v="AZDO"/>
        <s v="App Services,Microservices, Selenium"/>
        <s v="Chatops"/>
        <s v="Docker,ASE"/>
        <s v="Kubernetes,Conjure,ELK"/>
        <s v="Service Fabric"/>
        <s v="Python,Terraform"/>
      </sharedItems>
    </cacheField>
    <cacheField name="Github Projects" numFmtId="3">
      <sharedItems containsString="0" containsBlank="1" containsNumber="1" containsInteger="1">
        <n v="0.0"/>
        <m/>
        <n v="2.0"/>
        <n v="3.0"/>
        <n v="4.0"/>
        <n v="5.0"/>
        <n v="6.0"/>
        <n v="7.0"/>
        <n v="8.0"/>
        <n v="9.0"/>
      </sharedItems>
    </cacheField>
    <cacheField name="CV Linkedin Projects" numFmtId="3">
      <sharedItems containsString="0" containsBlank="1" containsNumber="1" containsInteger="1">
        <n v="0.0"/>
        <m/>
        <n v="1.0"/>
        <n v="2.0"/>
        <n v="3.0"/>
        <n v="4.0"/>
        <n v="5.0"/>
        <n v="6.0"/>
        <n v="7.0"/>
        <n v="8.0"/>
        <n v="9.0"/>
      </sharedItems>
    </cacheField>
    <cacheField name="pound month ( net/gross )" numFmtId="0">
      <sharedItems containsString="0" containsBlank="1" containsNumber="1" containsInteger="1">
        <m/>
        <n v="2000.0"/>
        <n v="1500.0"/>
        <n v="400.0"/>
        <n v="500.0"/>
        <n v="600.0"/>
        <n v="800.0"/>
        <n v="1000.0"/>
        <n v="3000.0"/>
        <n v="5000.0"/>
        <n v="6000.0"/>
        <n v="8000.0"/>
        <n v="9000.0"/>
        <n v="10000.0"/>
        <n v="12000.0"/>
        <n v="15840.0"/>
        <n v="1972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raph" cacheId="0" dataCaption="" rowGrandTotals="0" compact="0" compactData="0">
  <location ref="A1:C41" firstHeaderRow="0" firstDataRow="2" firstDataCol="0"/>
  <pivotFields>
    <pivotField name="year" axis="axisRow" compact="0" outline="0" multipleItemSelectionAllowed="1" showAll="0" sortType="ascending">
      <items>
        <item x="0"/>
        <item x="1"/>
        <item x="2"/>
        <item x="3"/>
        <item x="4"/>
        <item x="5"/>
        <item x="7"/>
        <item x="8"/>
        <item x="9"/>
        <item x="10"/>
        <item x="11"/>
        <item x="12"/>
        <item x="14"/>
        <item x="15"/>
        <item x="16"/>
        <item x="13"/>
        <item x="6"/>
        <item t="default"/>
      </items>
    </pivotField>
    <pivotField name="Age &gt; born 1980" compact="0" outline="0" multipleItemSelectionAllowed="1" showAll="0">
      <items>
        <item x="0"/>
        <item x="1"/>
        <item x="2"/>
        <item x="3"/>
        <item x="4"/>
        <item x="5"/>
        <item x="6"/>
        <item x="7"/>
        <item x="8"/>
        <item x="9"/>
        <item x="10"/>
        <item x="11"/>
        <item x="12"/>
        <item x="13"/>
        <item t="default"/>
      </items>
    </pivotField>
    <pivotField name="Net Money in the bank ( Worth )( spending )" compact="0" outline="0" multipleItemSelectionAllowed="1" showAll="0">
      <items>
        <item x="0"/>
        <item x="1"/>
        <item x="2"/>
        <item x="3"/>
        <item x="4"/>
        <item x="5"/>
        <item x="6"/>
        <item x="7"/>
        <item x="8"/>
        <item x="9"/>
        <item t="default"/>
      </items>
    </pivotField>
    <pivotField name="Debt ( GBP K )" compact="0" outline="0" multipleItemSelectionAllowed="1" showAll="0">
      <items>
        <item x="0"/>
        <item x="1"/>
        <item x="2"/>
        <item x="3"/>
        <item x="4"/>
        <item t="default"/>
      </items>
    </pivotField>
    <pivotField name="Net Position" compact="0" outline="0" multipleItemSelectionAllowed="1" showAll="0">
      <items>
        <item x="0"/>
        <item x="1"/>
        <item x="2"/>
        <item x="3"/>
        <item x="4"/>
        <item x="5"/>
        <item x="6"/>
        <item x="7"/>
        <item x="8"/>
        <item x="9"/>
        <item x="10"/>
        <item x="11"/>
        <item t="default"/>
      </items>
    </pivotField>
    <pivotField name="Financial Baby Step" compact="0" outline="0" multipleItemSelectionAllowed="1" showAll="0">
      <items>
        <item x="0"/>
        <item x="1"/>
        <item x="2"/>
        <item x="3"/>
        <item t="default"/>
      </items>
    </pivotField>
    <pivotField name="Rationale" compact="0" outline="0" multipleItemSelectionAllowed="1" showAll="0">
      <items>
        <item x="0"/>
        <item x="1"/>
        <item x="2"/>
        <item x="3"/>
        <item x="4"/>
        <item x="5"/>
        <item x="6"/>
        <item x="7"/>
        <item t="default"/>
      </items>
    </pivotField>
    <pivotField name="Type" compact="0" outline="0" multipleItemSelectionAllowed="1" showAll="0">
      <items>
        <item x="0"/>
        <item x="1"/>
        <item x="2"/>
        <item x="3"/>
        <item x="4"/>
        <item t="default"/>
      </items>
    </pivotField>
    <pivotField name="Work Structure" compact="0" outline="0" multipleItemSelectionAllowed="1" showAll="0">
      <items>
        <item x="0"/>
        <item x="1"/>
        <item x="2"/>
        <item x="3"/>
        <item x="4"/>
        <item t="default"/>
      </items>
    </pivotField>
    <pivotField name="Market" compact="0" outline="0" multipleItemSelectionAllowed="1" showAll="0">
      <items>
        <item x="0"/>
        <item x="1"/>
        <item x="2"/>
        <item x="3"/>
        <item x="4"/>
        <item x="5"/>
        <item x="6"/>
        <item t="default"/>
      </items>
    </pivotField>
    <pivotField name="Company Lead"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cean Type" compact="0" outline="0" multipleItemSelectionAllowed="1" showAll="0">
      <items>
        <item x="0"/>
        <item x="1"/>
        <item x="2"/>
        <item t="default"/>
      </items>
    </pivotField>
    <pivotField name="Government" compact="0" outline="0" multipleItemSelectionAllowed="1" showAll="0">
      <items>
        <item x="0"/>
        <item x="1"/>
        <item x="2"/>
        <item t="default"/>
      </items>
    </pivotField>
    <pivotField name="BCI Direction     ( v SRE/ DEVOPS ^)" compact="0" outline="0" multipleItemSelectionAllowed="1" showAll="0">
      <items>
        <item x="0"/>
        <item x="1"/>
        <item x="2"/>
        <item t="default"/>
      </items>
    </pivotField>
    <pivotField name="Trending Keywords And Direction" compact="0" outline="0" multipleItemSelectionAllowed="1" showAll="0">
      <items>
        <item x="0"/>
        <item x="1"/>
        <item x="2"/>
        <item x="3"/>
        <item x="4"/>
        <item x="5"/>
        <item x="6"/>
        <item x="7"/>
        <item x="8"/>
        <item x="9"/>
        <item t="default"/>
      </items>
    </pivotField>
    <pivotField name="Passport Access" compact="0" outline="0" multipleItemSelectionAllowed="1" showAll="0">
      <items>
        <item x="0"/>
        <item x="1"/>
        <item x="2"/>
        <item t="default"/>
      </items>
    </pivotField>
    <pivotField name="Security Clearance" compact="0" outline="0" multipleItemSelectionAllowed="1" showAll="0">
      <items>
        <item x="0"/>
        <item x="1"/>
        <item x="2"/>
        <item x="3"/>
        <item t="default"/>
      </items>
    </pivotField>
    <pivotField name="whyhired(Upsell) / =&gt; whatadded?(Leverage/Antifrag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udience" compact="0" outline="0" multipleItemSelectionAllowed="1" showAll="0">
      <items>
        <item x="0"/>
        <item x="1"/>
        <item x="2"/>
        <item x="3"/>
        <item x="4"/>
        <item x="5"/>
        <item x="6"/>
        <item x="7"/>
        <item x="8"/>
        <item x="9"/>
        <item x="10"/>
        <item t="default"/>
      </items>
    </pivotField>
    <pivotField name="Marketing Type" compact="0" outline="0" multipleItemSelectionAllowed="1" showAll="0">
      <items>
        <item x="0"/>
        <item x="1"/>
        <item x="2"/>
        <item t="default"/>
      </items>
    </pivotField>
    <pivotField name="Lead Source" compact="0" outline="0" multipleItemSelectionAllowed="1" showAll="0">
      <items>
        <item x="0"/>
        <item x="1"/>
        <item x="2"/>
        <item x="3"/>
        <item x="4"/>
        <item x="5"/>
        <item x="6"/>
        <item t="default"/>
      </items>
    </pivotField>
    <pivotField name="Passport/Visa" compact="0" outline="0" multipleItemSelectionAllowed="1" showAll="0">
      <items>
        <item x="0"/>
        <item x="1"/>
        <item x="2"/>
        <item t="default"/>
      </items>
    </pivotField>
    <pivotField name="Productivity ( Speed &gt; Reuse skills,materials(code,machines))" compact="0" outline="0" multipleItemSelectionAllowed="1" showAll="0">
      <items>
        <item x="0"/>
        <item x="1"/>
        <item x="2"/>
        <item x="3"/>
        <item x="4"/>
        <item x="5"/>
        <item x="6"/>
        <item x="7"/>
        <item x="8"/>
        <item x="9"/>
        <item t="default"/>
      </items>
    </pivotField>
    <pivotField name="Materials" compact="0" numFmtId="3" outline="0" multipleItemSelectionAllowed="1" showAll="0">
      <items>
        <item x="0"/>
        <item x="1"/>
        <item x="2"/>
        <item x="3"/>
        <item x="4"/>
        <item x="5"/>
        <item x="6"/>
        <item x="7"/>
        <item x="8"/>
        <item x="9"/>
        <item x="10"/>
        <item x="11"/>
        <item x="12"/>
        <item x="13"/>
        <item t="default"/>
      </items>
    </pivotField>
    <pivotField name="COUNTRY" compact="0" numFmtId="3" outline="0" multipleItemSelectionAllowed="1" showAll="0">
      <items>
        <item x="0"/>
        <item x="1"/>
        <item x="2"/>
        <item x="3"/>
        <item x="4"/>
        <item t="default"/>
      </items>
    </pivotField>
    <pivotField name="location city " compact="0" numFmtId="3" outline="0" multipleItemSelectionAllowed="1" showAll="0">
      <items>
        <item x="0"/>
        <item x="1"/>
        <item x="2"/>
        <item x="3"/>
        <item x="4"/>
        <item x="5"/>
        <item x="6"/>
        <item x="7"/>
        <item x="8"/>
        <item x="9"/>
        <item x="10"/>
        <item x="11"/>
        <item x="12"/>
        <item x="13"/>
        <item x="14"/>
        <item x="15"/>
        <item x="16"/>
        <item t="default"/>
      </items>
    </pivotField>
    <pivotField name="delivery" compact="0" numFmtId="3" outline="0" multipleItemSelectionAllowed="1" showAll="0">
      <items>
        <item x="0"/>
        <item x="1"/>
        <item t="default"/>
      </items>
    </pivotField>
    <pivotField name="mobility(km)" compact="0" numFmtId="3" outline="0" multipleItemSelectionAllowed="1" showAll="0">
      <items>
        <item x="0"/>
        <item x="1"/>
        <item x="2"/>
        <item x="3"/>
        <item x="4"/>
        <item x="5"/>
        <item x="6"/>
        <item x="7"/>
        <item x="8"/>
        <item x="9"/>
        <item x="10"/>
        <item x="11"/>
        <item x="12"/>
        <item x="13"/>
        <item t="default"/>
      </items>
    </pivotField>
    <pivotField name="concurrency " compact="0" numFmtId="164" outline="0" multipleItemSelectionAllowed="1" showAll="0">
      <items>
        <item x="0"/>
        <item x="1"/>
        <item x="2"/>
        <item x="3"/>
        <item x="4"/>
        <item t="default"/>
      </items>
    </pivotField>
    <pivotField name="tax status" compact="0" outline="0" multipleItemSelectionAllowed="1" showAll="0">
      <items>
        <item x="0"/>
        <item x="1"/>
        <item t="default"/>
      </items>
    </pivotField>
    <pivotField name="role" compact="0" numFmtId="3" outline="0" multipleItemSelectionAllowed="1" showAll="0">
      <items>
        <item x="0"/>
        <item x="1"/>
        <item x="2"/>
        <item x="3"/>
        <item x="4"/>
        <item x="5"/>
        <item x="6"/>
        <item x="7"/>
        <item x="8"/>
        <item x="9"/>
        <item x="10"/>
        <item x="11"/>
        <item x="12"/>
        <item x="13"/>
        <item x="14"/>
        <item x="15"/>
        <item t="default"/>
      </items>
    </pivotField>
    <pivotField name="Duration month" compact="0" numFmtId="3" outline="0" multipleItemSelectionAllowed="1" showAll="0">
      <items>
        <item x="0"/>
        <item x="1"/>
        <item x="2"/>
        <item x="3"/>
        <item x="4"/>
        <item x="5"/>
        <item x="6"/>
        <item x="7"/>
        <item x="8"/>
        <item x="9"/>
        <item x="10"/>
        <item x="11"/>
        <item x="12"/>
        <item x="13"/>
        <item t="default"/>
      </items>
    </pivotField>
    <pivotField name="type2" compact="0" numFmtId="165" outline="0" multipleItemSelectionAllowed="1" showAll="0">
      <items>
        <item x="0"/>
        <item x="1"/>
        <item x="2"/>
        <item x="3"/>
        <item x="4"/>
        <item x="5"/>
        <item t="default"/>
      </items>
    </pivotField>
    <pivotField name="Skills Added Symbols" compact="0" numFmtId="165"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Github Projects" compact="0" numFmtId="3" outline="0" multipleItemSelectionAllowed="1" showAll="0">
      <items>
        <item x="0"/>
        <item x="1"/>
        <item x="2"/>
        <item x="3"/>
        <item x="4"/>
        <item x="5"/>
        <item x="6"/>
        <item x="7"/>
        <item x="8"/>
        <item x="9"/>
        <item t="default"/>
      </items>
    </pivotField>
    <pivotField name="CV Linkedin Projects" compact="0" numFmtId="3" outline="0" multipleItemSelectionAllowed="1" showAll="0">
      <items>
        <item x="0"/>
        <item x="1"/>
        <item x="2"/>
        <item x="3"/>
        <item x="4"/>
        <item x="5"/>
        <item x="6"/>
        <item x="7"/>
        <item x="8"/>
        <item x="9"/>
        <item x="10"/>
        <item t="default"/>
      </items>
    </pivotField>
    <pivotField name="pound month ( net/gross )" axis="axisRow" dataField="1" compact="0" outline="0" multipleItemSelectionAllowed="1" showAll="0" sortType="ascending">
      <items>
        <item x="0"/>
        <item x="3"/>
        <item x="4"/>
        <item x="5"/>
        <item x="6"/>
        <item x="7"/>
        <item x="2"/>
        <item x="1"/>
        <item x="8"/>
        <item x="9"/>
        <item x="10"/>
        <item x="11"/>
        <item x="12"/>
        <item x="13"/>
        <item x="14"/>
        <item x="15"/>
        <item x="16"/>
        <item t="default"/>
      </items>
    </pivotField>
  </pivotFields>
  <rowFields>
    <field x="36"/>
    <field x="0"/>
  </rowFields>
  <dataFields>
    <dataField name="SUM of pound month ( net/gross )" fld="36" baseField="0"/>
  </dataFields>
</pivotTableDefinition>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 dT="2018-12-14T10:24:33.00" personId="{2c426b2f-4cc4-4c58-8a0e-cc3aa3f03053}" id="{259ee5c3-fe1e-4825-bb68-d115d01037c1}" done="0">
    <x18tc:text xml:space="preserve">@kchetin@gmail.com added the duration for analysis</x18tc:text>
    <x18tc:mentions>
      <x18tc:mention mentionpersonId="{c376831e-49ec-4dc4-a873-3ae2166b72db}" mentionId="{3733149b-9925-40d4-8e6d-7b813ef15749}" startIndex="0" length="18"/>
    </x18tc:mentions>
  </x18tc:threadedComment>
  <x18tc:threadedComment ref="Z1" dT="2018-12-14T13:35:49.00" personId="{ff717a28-82c7-4d2f-ac80-f26f8e7b040e}" id="{aa8f644e-dea4-4c41-ab60-cc6f64a83062}" parentId="{259ee5c3-fe1e-4825-bb68-d115d01037c1}">
    <x18tc:text xml:space="preserve">Good. Now the figures are not up in the air :)</x18tc:text>
  </x18tc:threadedComment>
  <x18tc:threadedComment ref="AK26" dT="2019-11-22T09:44:17.00" personId="{2c426b2f-4cc4-4c58-8a0e-cc3aa3f03053}" id="{d3f12978-a4f9-4c87-9eba-fdde9707e3aa}" done="0">
    <x18tc:text xml:space="preserve">@info@pexabo.com we might need to line up 2 contracts at the same time. @ece.pakkan@gmail.com</x18tc:text>
    <x18tc:mentions>
      <x18tc:mention mentionpersonId="{ec0500fd-d619-45d8-bf5d-f21022ff43e6}" mentionId="{816a731b-bd98-46f7-9fd8-a803a1f2cd36}" startIndex="0" length="16"/>
      <x18tc:mention mentionpersonId="{c568e294-1c96-42f9-b329-59ee728bdcee}" mentionId="{546ebdf2-43c8-47d0-999b-7c9766a739f5}" startIndex="72" length="21"/>
    </x18tc:mentions>
  </x18tc:threadedComment>
  <x18tc:threadedComment ref="AB6" dT="2020-05-05T10:43:28.00" personId="{2c426b2f-4cc4-4c58-8a0e-cc3aa3f03053}" id="{69bcad6c-0768-4bc3-a469-eaf6c798d701}" done="0">
    <x18tc:text xml:space="preserve">oblomov durumu https://www.youtube.com/watch?v=sgmy6Ke_xQY</x18tc:text>
    <x18tc:extLst>
      <ext uri="{F7C98A9C-CBB3-438F-8F68-D28B6AF4A901}">
        <xltc2:checksum/>
        <xltc2:hyperlink startIndex="15" length="43" url="https://www.youtube.com/watch?v=sgmy6Ke_xQY"/>
      </ext>
    </x18tc:extLst>
  </x18tc:threadedComment>
  <x18tc:threadedComment ref="AB6" dT="2020-05-06T07:03:44.00" personId="{2c426b2f-4cc4-4c58-8a0e-cc3aa3f03053}" id="{fcc4812c-4e83-4a7c-9f36-c15da23d3ef6}" parentId="{69bcad6c-0768-4bc3-a469-eaf6c798d701}">
    <x18tc:text xml:space="preserve">family business</x18tc:text>
  </x18tc:threadedComment>
  <x18tc:threadedComment ref="AE1" dT="2018-12-16T08:30:19.00" personId="{2c426b2f-4cc4-4c58-8a0e-cc3aa3f03053}" id="{fcd4c8a7-d55e-4f59-b308-aa80d9e6c371}" done="0">
    <x18tc:text xml:space="preserve">@kchetin@gmail.com adding the titles</x18tc:text>
    <x18tc:mentions>
      <x18tc:mention mentionpersonId="{c376831e-49ec-4dc4-a873-3ae2166b72db}" mentionId="{f868957c-1d05-441b-9dbf-e24a7f431ec1}" startIndex="0" length="18"/>
    </x18tc:mentions>
  </x18tc:threadedComment>
  <x18tc:threadedComment ref="AB26" dT="2019-10-24T08:50:47.00" personId="{2c426b2f-4cc4-4c58-8a0e-cc3aa3f03053}" id="{48cd986c-a100-4d49-a3cf-ea50a606ab73}" done="0">
    <x18tc:text xml:space="preserve">@info@pexabo.com we need to become more mobile it looks like it. Coordinate the process with @ece.pakkan@gmail.com on using the remote platforms in our studio</x18tc:text>
    <x18tc:mentions>
      <x18tc:mention mentionpersonId="{ec0500fd-d619-45d8-bf5d-f21022ff43e6}" mentionId="{e625b99e-438b-49c7-862a-9bf182e4b9d8}" startIndex="0" length="16"/>
      <x18tc:mention mentionpersonId="{c568e294-1c96-42f9-b329-59ee728bdcee}" mentionId="{8ca8a671-bd4b-4cda-95c1-fe81367e62d7}" startIndex="93" length="21"/>
    </x18tc:mentions>
  </x18tc:threadedComment>
  <x18tc:threadedComment ref="AV25" dT="2019-10-24T09:02:33.00" personId="{dc570ebd-0578-4748-9329-566b48e55660}" id="{e0985cec-602d-498c-8d44-2afd82693b46}" done="0">
    <x18tc:text xml:space="preserve">I did not see anywhere exceed £800 for devops roles</x18tc:text>
  </x18tc:threadedComment>
  <x18tc:threadedComment ref="AR23" dT="2018-11-25T09:56:33.00" personId="{2c426b2f-4cc4-4c58-8a0e-cc3aa3f03053}" id="{a1d7f157-1965-4215-b127-11d9eacde513}" done="1">
    <x18tc:text xml:space="preserve">8x could be capitalism maximum</x18tc:text>
  </x18tc:threadedComment>
  <x18tc:threadedComment ref="AR23" dT="2018-12-05T08:57:46.00" personId="{2c426b2f-4cc4-4c58-8a0e-cc3aa3f03053}" id="{c3d61b05-3e53-46d3-a78c-f8b34a7e3a2c}" parentId="{a1d7f157-1965-4215-b127-11d9eacde513}">
    <x18tc:text xml:space="preserve">@kchetin@gmail.com i realize this 8 times income could be the ceiling in the economy which makes the startup much more important.</x18tc:text>
    <x18tc:mentions>
      <x18tc:mention mentionpersonId="{c376831e-49ec-4dc4-a873-3ae2166b72db}" mentionId="{f10ee132-4d35-4b07-a1b9-75902cb99ec8}" startIndex="0" length="18"/>
    </x18tc:mentions>
  </x18tc:threadedComment>
  <x18tc:threadedComment ref="AR23" dT="2018-12-05T11:23:46.00" personId="{ff717a28-82c7-4d2f-ac80-f26f8e7b040e}" id="{8265ac05-5116-4058-8dab-7960e9eaf7e1}" parentId="{a1d7f157-1965-4215-b127-11d9eacde513}">
    <x18tc:text xml:space="preserve">So, there is the RATE and there us DURATION  coupled in this comparison.
And the GAP avoidance not seen here..
Rate - good if you can keep above 500, but must set a minimum, unless a
long and type of contract you want..
Duration - anything less than 3 months would be an exception that you may
want to agree..
Gaps - already discussed. No good to take 700x20 work days, then nothing ...
Long term: like any skill, at some point the wages start declining for a
type of role.. So, like a racing yacht, need to find the favourable winds
to keep the speed and best course.
😉  🐬 in a world of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lesforce.com/"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2.63" defaultRowHeight="15.75"/>
  <cols>
    <col customWidth="1" min="1" max="1" width="5.63"/>
    <col customWidth="1" min="2" max="4" width="10.63"/>
    <col customWidth="1" min="5" max="5" width="8.0"/>
    <col customWidth="1" min="6" max="7" width="10.63"/>
    <col customWidth="1" min="8" max="8" width="11.38"/>
    <col customWidth="1" min="9" max="9" width="14.38"/>
    <col customWidth="1" min="10" max="11" width="11.38"/>
    <col customWidth="1" min="12" max="12" width="10.38"/>
    <col customWidth="1" min="13" max="17" width="13.38"/>
    <col customWidth="1" min="18" max="18" width="36.38"/>
    <col customWidth="1" min="19" max="20" width="18.25"/>
    <col customWidth="1" min="21" max="21" width="11.88"/>
    <col customWidth="1" min="22" max="22" width="14.63"/>
    <col customWidth="1" min="23" max="23" width="11.38"/>
    <col customWidth="1" min="24" max="24" width="13.63"/>
    <col customWidth="1" min="25" max="25" width="23.88"/>
    <col customWidth="1" min="26" max="26" width="9.25"/>
    <col customWidth="1" min="27" max="28" width="7.38"/>
    <col customWidth="1" min="29" max="29" width="13.88"/>
    <col customWidth="1" min="30" max="31" width="19.88"/>
    <col customWidth="1" min="32" max="32" width="8.25"/>
    <col customWidth="1" min="33" max="33" width="8.63"/>
    <col customWidth="1" min="34" max="34" width="18.25"/>
    <col customWidth="1" min="35" max="36" width="10.0"/>
    <col customWidth="1" min="37" max="37" width="8.13"/>
    <col customWidth="1" min="38" max="39" width="11.25"/>
    <col customWidth="1" min="40" max="40" width="14.13"/>
    <col customWidth="1" min="41" max="41" width="22.13"/>
    <col customWidth="1" min="42" max="42" width="20.13"/>
    <col customWidth="1" min="43" max="43" width="7.38"/>
    <col customWidth="1" min="44" max="44" width="9.75"/>
    <col customWidth="1" min="45" max="45" width="6.13"/>
    <col customWidth="1" min="46" max="46" width="12.0"/>
    <col customWidth="1" min="47" max="47" width="28.75"/>
    <col customWidth="1" min="48" max="48" width="72.38"/>
  </cols>
  <sheetData>
    <row r="1">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5" t="s">
        <v>37</v>
      </c>
      <c r="AM1" s="4" t="s">
        <v>38</v>
      </c>
      <c r="AN1" s="4" t="s">
        <v>39</v>
      </c>
      <c r="AO1" s="4" t="s">
        <v>40</v>
      </c>
      <c r="AP1" s="2" t="s">
        <v>41</v>
      </c>
      <c r="AQ1" s="6" t="s">
        <v>42</v>
      </c>
      <c r="AR1" s="6" t="s">
        <v>43</v>
      </c>
      <c r="AS1" s="2" t="s">
        <v>44</v>
      </c>
      <c r="AT1" s="2" t="s">
        <v>45</v>
      </c>
      <c r="AU1" s="2" t="s">
        <v>46</v>
      </c>
      <c r="AV1" s="7" t="s">
        <v>47</v>
      </c>
    </row>
    <row r="2" ht="40.5" customHeight="1">
      <c r="A2" s="2">
        <v>1990.0</v>
      </c>
      <c r="B2" s="8">
        <v>10.0</v>
      </c>
      <c r="C2" s="8">
        <v>10.0</v>
      </c>
      <c r="D2" s="8">
        <v>0.0</v>
      </c>
      <c r="E2" s="8">
        <f t="shared" ref="E2:E7" si="1">C2-D2</f>
        <v>10</v>
      </c>
      <c r="F2" s="8">
        <v>1.0</v>
      </c>
      <c r="G2" s="9" t="s">
        <v>48</v>
      </c>
      <c r="H2" s="2" t="s">
        <v>49</v>
      </c>
      <c r="I2" s="2" t="s">
        <v>50</v>
      </c>
      <c r="J2" s="2" t="s">
        <v>51</v>
      </c>
      <c r="K2" s="2" t="s">
        <v>52</v>
      </c>
      <c r="L2" s="10" t="s">
        <v>53</v>
      </c>
      <c r="M2" s="10">
        <v>0.0</v>
      </c>
      <c r="N2" s="10" t="s">
        <v>54</v>
      </c>
      <c r="O2" s="10" t="s">
        <v>55</v>
      </c>
      <c r="P2" s="10">
        <v>111.0</v>
      </c>
      <c r="Q2" s="10" t="s">
        <v>56</v>
      </c>
      <c r="R2" s="10" t="s">
        <v>57</v>
      </c>
      <c r="S2" s="10" t="s">
        <v>58</v>
      </c>
      <c r="T2" s="10" t="s">
        <v>59</v>
      </c>
      <c r="U2" s="10" t="s">
        <v>60</v>
      </c>
      <c r="V2" s="2" t="s">
        <v>61</v>
      </c>
      <c r="W2" s="2">
        <v>1.0</v>
      </c>
      <c r="X2" s="11" t="s">
        <v>62</v>
      </c>
      <c r="Y2" s="11" t="s">
        <v>63</v>
      </c>
      <c r="Z2" s="11" t="s">
        <v>64</v>
      </c>
      <c r="AA2" s="11" t="s">
        <v>65</v>
      </c>
      <c r="AB2" s="12">
        <v>0.0</v>
      </c>
      <c r="AC2" s="13">
        <v>1.0</v>
      </c>
      <c r="AD2" s="11"/>
      <c r="AE2" s="11" t="s">
        <v>66</v>
      </c>
      <c r="AF2" s="14">
        <v>48.0</v>
      </c>
      <c r="AG2" s="15" t="s">
        <v>67</v>
      </c>
      <c r="AH2" s="15" t="s">
        <v>68</v>
      </c>
      <c r="AI2" s="11">
        <v>0.0</v>
      </c>
      <c r="AJ2" s="11">
        <v>0.0</v>
      </c>
      <c r="AK2" s="16"/>
      <c r="AL2" s="17"/>
      <c r="AM2" s="16"/>
      <c r="AN2" s="18">
        <v>0.0</v>
      </c>
      <c r="AO2" s="18">
        <v>0.0</v>
      </c>
      <c r="AP2" s="18">
        <v>0.0</v>
      </c>
      <c r="AQ2" s="19"/>
      <c r="AR2" s="20"/>
      <c r="AS2" s="10">
        <v>0.0</v>
      </c>
      <c r="AT2" s="10" t="s">
        <v>69</v>
      </c>
      <c r="AU2" s="21" t="s">
        <v>70</v>
      </c>
      <c r="AV2" s="21" t="s">
        <v>71</v>
      </c>
    </row>
    <row r="3" ht="40.5" customHeight="1">
      <c r="A3" s="2">
        <v>1997.0</v>
      </c>
      <c r="B3" s="8"/>
      <c r="C3" s="8"/>
      <c r="D3" s="8"/>
      <c r="E3" s="8">
        <f t="shared" si="1"/>
        <v>0</v>
      </c>
      <c r="F3" s="8">
        <v>1.0</v>
      </c>
      <c r="G3" s="9"/>
      <c r="H3" s="2"/>
      <c r="I3" s="2" t="s">
        <v>72</v>
      </c>
      <c r="J3" s="2" t="s">
        <v>73</v>
      </c>
      <c r="K3" s="2" t="s">
        <v>74</v>
      </c>
      <c r="L3" s="10" t="s">
        <v>53</v>
      </c>
      <c r="M3" s="10">
        <v>0.0</v>
      </c>
      <c r="N3" s="10" t="s">
        <v>54</v>
      </c>
      <c r="O3" s="10" t="s">
        <v>75</v>
      </c>
      <c r="P3" s="10">
        <v>111.0</v>
      </c>
      <c r="Q3" s="10" t="s">
        <v>56</v>
      </c>
      <c r="R3" s="10" t="s">
        <v>76</v>
      </c>
      <c r="S3" s="10" t="s">
        <v>58</v>
      </c>
      <c r="T3" s="10" t="s">
        <v>59</v>
      </c>
      <c r="U3" s="10"/>
      <c r="V3" s="2" t="s">
        <v>61</v>
      </c>
      <c r="W3" s="2"/>
      <c r="X3" s="11"/>
      <c r="Y3" s="11"/>
      <c r="Z3" s="11"/>
      <c r="AA3" s="11" t="s">
        <v>65</v>
      </c>
      <c r="AB3" s="12"/>
      <c r="AC3" s="13"/>
      <c r="AD3" s="11"/>
      <c r="AE3" s="11"/>
      <c r="AF3" s="14"/>
      <c r="AG3" s="15"/>
      <c r="AH3" s="15" t="s">
        <v>77</v>
      </c>
      <c r="AI3" s="11">
        <v>0.0</v>
      </c>
      <c r="AJ3" s="11">
        <v>0.0</v>
      </c>
      <c r="AK3" s="16"/>
      <c r="AL3" s="17"/>
      <c r="AM3" s="16"/>
      <c r="AN3" s="22"/>
      <c r="AO3" s="17"/>
      <c r="AP3" s="17"/>
      <c r="AQ3" s="23"/>
      <c r="AR3" s="20"/>
      <c r="AS3" s="10"/>
      <c r="AT3" s="10"/>
      <c r="AU3" s="21"/>
      <c r="AV3" s="21"/>
    </row>
    <row r="4" ht="40.5" customHeight="1">
      <c r="A4" s="2">
        <v>1998.0</v>
      </c>
      <c r="B4" s="8"/>
      <c r="C4" s="8"/>
      <c r="D4" s="8"/>
      <c r="E4" s="8">
        <f t="shared" si="1"/>
        <v>0</v>
      </c>
      <c r="F4" s="8">
        <v>1.0</v>
      </c>
      <c r="G4" s="9"/>
      <c r="H4" s="2"/>
      <c r="I4" s="2" t="s">
        <v>50</v>
      </c>
      <c r="J4" s="2" t="s">
        <v>73</v>
      </c>
      <c r="K4" s="2" t="s">
        <v>78</v>
      </c>
      <c r="L4" s="10" t="s">
        <v>53</v>
      </c>
      <c r="M4" s="10">
        <v>0.0</v>
      </c>
      <c r="N4" s="10" t="s">
        <v>54</v>
      </c>
      <c r="O4" s="10" t="s">
        <v>79</v>
      </c>
      <c r="P4" s="10">
        <v>111.0</v>
      </c>
      <c r="Q4" s="10" t="s">
        <v>56</v>
      </c>
      <c r="R4" s="10" t="s">
        <v>80</v>
      </c>
      <c r="S4" s="10" t="s">
        <v>81</v>
      </c>
      <c r="T4" s="10" t="s">
        <v>59</v>
      </c>
      <c r="U4" s="10"/>
      <c r="V4" s="2" t="s">
        <v>61</v>
      </c>
      <c r="W4" s="2"/>
      <c r="X4" s="11"/>
      <c r="Y4" s="11"/>
      <c r="Z4" s="11"/>
      <c r="AA4" s="11" t="s">
        <v>65</v>
      </c>
      <c r="AB4" s="12"/>
      <c r="AC4" s="13"/>
      <c r="AD4" s="11"/>
      <c r="AE4" s="11"/>
      <c r="AF4" s="14"/>
      <c r="AG4" s="15"/>
      <c r="AH4" s="15" t="s">
        <v>82</v>
      </c>
      <c r="AI4" s="11">
        <v>0.0</v>
      </c>
      <c r="AJ4" s="11">
        <v>0.0</v>
      </c>
      <c r="AK4" s="16"/>
      <c r="AL4" s="17"/>
      <c r="AM4" s="16"/>
      <c r="AN4" s="22"/>
      <c r="AO4" s="17"/>
      <c r="AP4" s="17"/>
      <c r="AQ4" s="23"/>
      <c r="AR4" s="20"/>
      <c r="AS4" s="10"/>
      <c r="AT4" s="10"/>
      <c r="AU4" s="21"/>
      <c r="AV4" s="21"/>
    </row>
    <row r="5" ht="40.5" customHeight="1">
      <c r="A5" s="2">
        <v>1999.0</v>
      </c>
      <c r="B5" s="8">
        <v>19.0</v>
      </c>
      <c r="C5" s="8">
        <v>0.0</v>
      </c>
      <c r="D5" s="8">
        <v>0.0</v>
      </c>
      <c r="E5" s="8">
        <f t="shared" si="1"/>
        <v>0</v>
      </c>
      <c r="F5" s="8">
        <v>1.0</v>
      </c>
      <c r="G5" s="9" t="s">
        <v>83</v>
      </c>
      <c r="H5" s="2" t="s">
        <v>84</v>
      </c>
      <c r="I5" s="2" t="s">
        <v>50</v>
      </c>
      <c r="J5" s="2" t="s">
        <v>73</v>
      </c>
      <c r="K5" s="2" t="s">
        <v>85</v>
      </c>
      <c r="L5" s="10" t="s">
        <v>53</v>
      </c>
      <c r="M5" s="10">
        <v>0.0</v>
      </c>
      <c r="N5" s="10" t="s">
        <v>54</v>
      </c>
      <c r="O5" s="10" t="s">
        <v>86</v>
      </c>
      <c r="P5" s="10">
        <v>111.0</v>
      </c>
      <c r="Q5" s="10" t="s">
        <v>56</v>
      </c>
      <c r="R5" s="10" t="s">
        <v>87</v>
      </c>
      <c r="S5" s="10" t="s">
        <v>88</v>
      </c>
      <c r="T5" s="10" t="s">
        <v>59</v>
      </c>
      <c r="U5" s="10" t="s">
        <v>89</v>
      </c>
      <c r="V5" s="2" t="s">
        <v>61</v>
      </c>
      <c r="W5" s="2">
        <v>1.0</v>
      </c>
      <c r="X5" s="11" t="s">
        <v>90</v>
      </c>
      <c r="Y5" s="11" t="s">
        <v>63</v>
      </c>
      <c r="Z5" s="11" t="s">
        <v>91</v>
      </c>
      <c r="AA5" s="11" t="s">
        <v>65</v>
      </c>
      <c r="AB5" s="12">
        <v>1.0</v>
      </c>
      <c r="AC5" s="13">
        <v>1.0</v>
      </c>
      <c r="AD5" s="11"/>
      <c r="AE5" s="11" t="s">
        <v>92</v>
      </c>
      <c r="AF5" s="14">
        <v>12.0</v>
      </c>
      <c r="AG5" s="15" t="s">
        <v>93</v>
      </c>
      <c r="AH5" s="15" t="s">
        <v>94</v>
      </c>
      <c r="AI5" s="11">
        <v>0.0</v>
      </c>
      <c r="AJ5" s="11">
        <v>0.0</v>
      </c>
      <c r="AK5" s="16"/>
      <c r="AL5" s="17"/>
      <c r="AM5" s="16"/>
      <c r="AN5" s="16">
        <v>2000.0</v>
      </c>
      <c r="AO5" s="17"/>
      <c r="AP5" s="17"/>
      <c r="AQ5" s="23"/>
      <c r="AR5" s="20"/>
      <c r="AS5" s="10">
        <v>1.0</v>
      </c>
      <c r="AT5" s="10" t="s">
        <v>95</v>
      </c>
      <c r="AU5" s="21" t="s">
        <v>70</v>
      </c>
      <c r="AV5" s="21"/>
    </row>
    <row r="6" ht="40.5" customHeight="1">
      <c r="A6" s="2">
        <v>2000.0</v>
      </c>
      <c r="B6" s="8">
        <v>20.0</v>
      </c>
      <c r="C6" s="8">
        <v>200.0</v>
      </c>
      <c r="D6" s="8">
        <v>0.0</v>
      </c>
      <c r="E6" s="8">
        <f t="shared" si="1"/>
        <v>200</v>
      </c>
      <c r="F6" s="8">
        <v>1.0</v>
      </c>
      <c r="G6" s="9" t="s">
        <v>96</v>
      </c>
      <c r="H6" s="2" t="s">
        <v>84</v>
      </c>
      <c r="I6" s="2" t="s">
        <v>97</v>
      </c>
      <c r="J6" s="2" t="s">
        <v>98</v>
      </c>
      <c r="K6" s="2" t="s">
        <v>99</v>
      </c>
      <c r="L6" s="10" t="s">
        <v>53</v>
      </c>
      <c r="M6" s="10">
        <v>0.0</v>
      </c>
      <c r="N6" s="10" t="s">
        <v>100</v>
      </c>
      <c r="O6" s="10" t="s">
        <v>101</v>
      </c>
      <c r="P6" s="10">
        <v>111.0</v>
      </c>
      <c r="Q6" s="10" t="s">
        <v>56</v>
      </c>
      <c r="R6" s="10" t="s">
        <v>102</v>
      </c>
      <c r="S6" s="10" t="s">
        <v>103</v>
      </c>
      <c r="T6" s="10" t="s">
        <v>59</v>
      </c>
      <c r="U6" s="10" t="s">
        <v>104</v>
      </c>
      <c r="V6" s="2" t="s">
        <v>61</v>
      </c>
      <c r="W6" s="2">
        <v>1.0</v>
      </c>
      <c r="X6" s="11" t="s">
        <v>105</v>
      </c>
      <c r="Y6" s="11" t="s">
        <v>63</v>
      </c>
      <c r="Z6" s="11" t="s">
        <v>106</v>
      </c>
      <c r="AA6" s="11" t="s">
        <v>65</v>
      </c>
      <c r="AB6" s="12">
        <v>0.0</v>
      </c>
      <c r="AC6" s="13">
        <v>1.1</v>
      </c>
      <c r="AD6" s="11"/>
      <c r="AE6" s="11" t="s">
        <v>107</v>
      </c>
      <c r="AF6" s="14">
        <f>9*12</f>
        <v>108</v>
      </c>
      <c r="AG6" s="15" t="s">
        <v>108</v>
      </c>
      <c r="AH6" s="15" t="s">
        <v>109</v>
      </c>
      <c r="AI6" s="11">
        <v>0.0</v>
      </c>
      <c r="AJ6" s="11">
        <v>0.0</v>
      </c>
      <c r="AK6" s="16">
        <v>2000.0</v>
      </c>
      <c r="AL6" s="24">
        <f>AK6/23/12/1.2*-1</f>
        <v>-6.038647343</v>
      </c>
      <c r="AM6" s="16">
        <f>2000000-3000000</f>
        <v>-1000000</v>
      </c>
      <c r="AN6" s="22">
        <f t="shared" ref="AN6:AN7" si="2">AF6*AK6</f>
        <v>216000</v>
      </c>
      <c r="AO6" s="17"/>
      <c r="AP6" s="17"/>
      <c r="AQ6" s="23">
        <v>7.0</v>
      </c>
      <c r="AR6" s="20">
        <f t="shared" ref="AR6:AR7" si="3">AK6/1500</f>
        <v>1.333333333</v>
      </c>
      <c r="AS6" s="10">
        <v>20.0</v>
      </c>
      <c r="AT6" s="10" t="s">
        <v>110</v>
      </c>
      <c r="AU6" s="21" t="s">
        <v>111</v>
      </c>
      <c r="AV6" s="21" t="s">
        <v>112</v>
      </c>
    </row>
    <row r="7" ht="40.5" customHeight="1">
      <c r="A7" s="2">
        <v>2010.0</v>
      </c>
      <c r="B7" s="25">
        <v>30.0</v>
      </c>
      <c r="C7" s="10">
        <v>10.0</v>
      </c>
      <c r="D7" s="10">
        <v>30.0</v>
      </c>
      <c r="E7" s="8">
        <f t="shared" si="1"/>
        <v>-20</v>
      </c>
      <c r="F7" s="10">
        <v>1.0</v>
      </c>
      <c r="G7" s="26" t="s">
        <v>83</v>
      </c>
      <c r="H7" s="2" t="s">
        <v>84</v>
      </c>
      <c r="I7" s="2" t="s">
        <v>50</v>
      </c>
      <c r="J7" s="10" t="s">
        <v>113</v>
      </c>
      <c r="K7" s="10" t="s">
        <v>114</v>
      </c>
      <c r="L7" s="10" t="s">
        <v>53</v>
      </c>
      <c r="M7" s="10">
        <v>0.0</v>
      </c>
      <c r="N7" s="10" t="s">
        <v>54</v>
      </c>
      <c r="O7" s="10" t="s">
        <v>115</v>
      </c>
      <c r="P7" s="10">
        <v>111.0</v>
      </c>
      <c r="Q7" s="10" t="s">
        <v>56</v>
      </c>
      <c r="R7" s="10" t="s">
        <v>116</v>
      </c>
      <c r="S7" s="10" t="s">
        <v>117</v>
      </c>
      <c r="T7" s="10" t="s">
        <v>59</v>
      </c>
      <c r="U7" s="10" t="s">
        <v>118</v>
      </c>
      <c r="V7" s="2" t="s">
        <v>61</v>
      </c>
      <c r="W7" s="2">
        <v>2.0</v>
      </c>
      <c r="X7" s="4" t="s">
        <v>90</v>
      </c>
      <c r="Y7" s="4" t="s">
        <v>63</v>
      </c>
      <c r="Z7" s="15" t="s">
        <v>119</v>
      </c>
      <c r="AA7" s="11" t="s">
        <v>65</v>
      </c>
      <c r="AB7" s="27">
        <v>100.0</v>
      </c>
      <c r="AC7" s="13">
        <v>3.0</v>
      </c>
      <c r="AD7" s="11"/>
      <c r="AE7" s="11" t="s">
        <v>120</v>
      </c>
      <c r="AF7" s="27">
        <v>3.0</v>
      </c>
      <c r="AG7" s="4" t="s">
        <v>121</v>
      </c>
      <c r="AH7" s="28" t="s">
        <v>122</v>
      </c>
      <c r="AI7" s="11">
        <v>0.0</v>
      </c>
      <c r="AJ7" s="11">
        <v>0.0</v>
      </c>
      <c r="AK7" s="16">
        <v>1500.0</v>
      </c>
      <c r="AL7" s="24">
        <f>AK7/23/12/1.2</f>
        <v>4.528985507</v>
      </c>
      <c r="AM7" s="16">
        <v>0.0</v>
      </c>
      <c r="AN7" s="24">
        <f t="shared" si="2"/>
        <v>4500</v>
      </c>
      <c r="AO7" s="24">
        <f>AN7*0.2</f>
        <v>900</v>
      </c>
      <c r="AP7" s="17"/>
      <c r="AQ7" s="19">
        <f>AK7/270</f>
        <v>5.555555556</v>
      </c>
      <c r="AR7" s="20">
        <f t="shared" si="3"/>
        <v>1</v>
      </c>
      <c r="AS7" s="10">
        <v>1.0</v>
      </c>
      <c r="AT7" s="10" t="s">
        <v>123</v>
      </c>
      <c r="AU7" s="21" t="s">
        <v>124</v>
      </c>
      <c r="AV7" s="21" t="s">
        <v>125</v>
      </c>
    </row>
    <row r="8" ht="26.25" customHeight="1">
      <c r="A8" s="29" t="s">
        <v>126</v>
      </c>
      <c r="B8" s="30"/>
      <c r="C8" s="30"/>
      <c r="D8" s="30"/>
      <c r="E8" s="30"/>
      <c r="F8" s="30"/>
      <c r="G8" s="30"/>
      <c r="H8" s="30"/>
      <c r="I8" s="30"/>
      <c r="J8" s="30"/>
      <c r="K8" s="31"/>
      <c r="L8" s="32"/>
      <c r="M8" s="32"/>
      <c r="N8" s="32"/>
      <c r="O8" s="32"/>
      <c r="P8" s="32"/>
      <c r="Q8" s="32"/>
      <c r="R8" s="32"/>
      <c r="S8" s="32"/>
      <c r="T8" s="32"/>
      <c r="U8" s="32"/>
      <c r="V8" s="33"/>
      <c r="W8" s="33"/>
      <c r="X8" s="33"/>
      <c r="Y8" s="29" t="s">
        <v>127</v>
      </c>
      <c r="Z8" s="30"/>
      <c r="AA8" s="30"/>
      <c r="AB8" s="30"/>
      <c r="AC8" s="30"/>
      <c r="AD8" s="30"/>
      <c r="AE8" s="30"/>
      <c r="AF8" s="30"/>
      <c r="AG8" s="30"/>
      <c r="AH8" s="30"/>
      <c r="AI8" s="30"/>
      <c r="AJ8" s="30"/>
      <c r="AK8" s="30"/>
      <c r="AL8" s="31"/>
      <c r="AM8" s="34"/>
      <c r="AN8" s="34"/>
      <c r="AO8" s="35"/>
      <c r="AP8" s="36"/>
      <c r="AQ8" s="37"/>
      <c r="AR8" s="37"/>
      <c r="AS8" s="37"/>
      <c r="AT8" s="37"/>
      <c r="AU8" s="38"/>
      <c r="AV8" s="38"/>
    </row>
    <row r="9" ht="40.5" customHeight="1">
      <c r="A9" s="2">
        <v>2011.0</v>
      </c>
      <c r="B9" s="10">
        <v>31.0</v>
      </c>
      <c r="C9" s="10">
        <v>0.0</v>
      </c>
      <c r="D9" s="10">
        <v>0.0</v>
      </c>
      <c r="E9" s="10">
        <f t="shared" ref="E9:E16" si="4">C9-D9</f>
        <v>0</v>
      </c>
      <c r="F9" s="10">
        <v>2.0</v>
      </c>
      <c r="G9" s="26" t="s">
        <v>128</v>
      </c>
      <c r="H9" s="10" t="s">
        <v>129</v>
      </c>
      <c r="I9" s="10" t="s">
        <v>72</v>
      </c>
      <c r="J9" s="10" t="s">
        <v>113</v>
      </c>
      <c r="K9" s="10" t="s">
        <v>130</v>
      </c>
      <c r="L9" s="10" t="s">
        <v>53</v>
      </c>
      <c r="M9" s="10">
        <v>0.0</v>
      </c>
      <c r="N9" s="10" t="s">
        <v>54</v>
      </c>
      <c r="O9" s="10" t="s">
        <v>131</v>
      </c>
      <c r="P9" s="10">
        <v>111.0</v>
      </c>
      <c r="Q9" s="10" t="s">
        <v>56</v>
      </c>
      <c r="R9" s="10" t="s">
        <v>132</v>
      </c>
      <c r="S9" s="10" t="s">
        <v>133</v>
      </c>
      <c r="T9" s="10" t="s">
        <v>59</v>
      </c>
      <c r="U9" s="10" t="s">
        <v>134</v>
      </c>
      <c r="V9" s="2" t="s">
        <v>61</v>
      </c>
      <c r="W9" s="2">
        <v>3.0</v>
      </c>
      <c r="X9" s="4" t="s">
        <v>135</v>
      </c>
      <c r="Y9" s="4" t="s">
        <v>63</v>
      </c>
      <c r="Z9" s="15" t="s">
        <v>119</v>
      </c>
      <c r="AA9" s="11" t="s">
        <v>65</v>
      </c>
      <c r="AB9" s="27">
        <v>10.0</v>
      </c>
      <c r="AC9" s="13">
        <v>3.0</v>
      </c>
      <c r="AD9" s="11"/>
      <c r="AE9" s="11" t="s">
        <v>136</v>
      </c>
      <c r="AF9" s="27">
        <v>6.0</v>
      </c>
      <c r="AG9" s="15" t="s">
        <v>137</v>
      </c>
      <c r="AH9" s="15" t="s">
        <v>138</v>
      </c>
      <c r="AI9" s="11">
        <v>0.0</v>
      </c>
      <c r="AJ9" s="11">
        <v>0.0</v>
      </c>
      <c r="AK9" s="39">
        <v>400.0</v>
      </c>
      <c r="AL9" s="18">
        <v>1.0</v>
      </c>
      <c r="AM9" s="16">
        <v>0.0</v>
      </c>
      <c r="AN9" s="40">
        <f t="shared" ref="AN9:AN14" si="5">AK9*AF9</f>
        <v>2400</v>
      </c>
      <c r="AO9" s="24">
        <f t="shared" ref="AO9:AO13" si="6">AN9*0.2</f>
        <v>480</v>
      </c>
      <c r="AP9" s="17"/>
      <c r="AQ9" s="19">
        <f>AK9/270</f>
        <v>1.481481481</v>
      </c>
      <c r="AR9" s="41">
        <f>AK9/1500</f>
        <v>0.2666666667</v>
      </c>
      <c r="AS9" s="42">
        <v>1.0</v>
      </c>
      <c r="AT9" s="10" t="s">
        <v>123</v>
      </c>
      <c r="AU9" s="21" t="s">
        <v>124</v>
      </c>
      <c r="AV9" s="21" t="s">
        <v>139</v>
      </c>
    </row>
    <row r="10" ht="40.5" customHeight="1">
      <c r="A10" s="43">
        <v>2011.0</v>
      </c>
      <c r="B10" s="10">
        <v>31.0</v>
      </c>
      <c r="C10" s="10">
        <v>0.0</v>
      </c>
      <c r="D10" s="10">
        <v>0.0</v>
      </c>
      <c r="E10" s="10">
        <f t="shared" si="4"/>
        <v>0</v>
      </c>
      <c r="F10" s="10">
        <v>2.0</v>
      </c>
      <c r="G10" s="26" t="s">
        <v>140</v>
      </c>
      <c r="H10" s="10" t="s">
        <v>129</v>
      </c>
      <c r="I10" s="10" t="s">
        <v>72</v>
      </c>
      <c r="J10" s="10" t="s">
        <v>113</v>
      </c>
      <c r="K10" s="10" t="s">
        <v>141</v>
      </c>
      <c r="L10" s="10" t="s">
        <v>53</v>
      </c>
      <c r="M10" s="10">
        <v>0.0</v>
      </c>
      <c r="N10" s="10" t="s">
        <v>54</v>
      </c>
      <c r="O10" s="10" t="s">
        <v>131</v>
      </c>
      <c r="P10" s="10">
        <v>111.0</v>
      </c>
      <c r="Q10" s="10" t="s">
        <v>56</v>
      </c>
      <c r="R10" s="10" t="s">
        <v>142</v>
      </c>
      <c r="S10" s="10" t="s">
        <v>133</v>
      </c>
      <c r="T10" s="10" t="s">
        <v>59</v>
      </c>
      <c r="U10" s="10" t="s">
        <v>118</v>
      </c>
      <c r="V10" s="2" t="s">
        <v>61</v>
      </c>
      <c r="W10" s="10">
        <v>2.0</v>
      </c>
      <c r="X10" s="4" t="s">
        <v>143</v>
      </c>
      <c r="Y10" s="4" t="s">
        <v>63</v>
      </c>
      <c r="Z10" s="44" t="s">
        <v>119</v>
      </c>
      <c r="AA10" s="11" t="s">
        <v>65</v>
      </c>
      <c r="AB10" s="27">
        <v>15.0</v>
      </c>
      <c r="AC10" s="45">
        <v>3.0</v>
      </c>
      <c r="AD10" s="46"/>
      <c r="AE10" s="47" t="s">
        <v>136</v>
      </c>
      <c r="AF10" s="48">
        <v>6.0</v>
      </c>
      <c r="AG10" s="15" t="s">
        <v>137</v>
      </c>
      <c r="AH10" s="15" t="s">
        <v>144</v>
      </c>
      <c r="AI10" s="11">
        <v>0.0</v>
      </c>
      <c r="AJ10" s="11">
        <v>0.0</v>
      </c>
      <c r="AK10" s="16">
        <v>400.0</v>
      </c>
      <c r="AL10" s="24">
        <f>AK9/23/12/1.2</f>
        <v>1.207729469</v>
      </c>
      <c r="AM10" s="16">
        <v>0.0</v>
      </c>
      <c r="AN10" s="40">
        <f t="shared" si="5"/>
        <v>2400</v>
      </c>
      <c r="AO10" s="24">
        <f t="shared" si="6"/>
        <v>480</v>
      </c>
      <c r="AP10" s="49"/>
      <c r="AQ10" s="19">
        <f>AK9/270</f>
        <v>1.481481481</v>
      </c>
      <c r="AR10" s="41">
        <f>AK9/1500</f>
        <v>0.2666666667</v>
      </c>
      <c r="AS10" s="50">
        <v>1.0</v>
      </c>
      <c r="AT10" s="50" t="s">
        <v>123</v>
      </c>
      <c r="AU10" s="21" t="s">
        <v>124</v>
      </c>
      <c r="AV10" s="51" t="s">
        <v>145</v>
      </c>
    </row>
    <row r="11" ht="40.5" customHeight="1">
      <c r="A11" s="52">
        <v>2012.0</v>
      </c>
      <c r="B11" s="10">
        <v>32.0</v>
      </c>
      <c r="C11" s="10">
        <v>0.0</v>
      </c>
      <c r="D11" s="10">
        <v>0.0</v>
      </c>
      <c r="E11" s="10">
        <f t="shared" si="4"/>
        <v>0</v>
      </c>
      <c r="F11" s="10">
        <v>2.0</v>
      </c>
      <c r="G11" s="26" t="s">
        <v>140</v>
      </c>
      <c r="H11" s="10" t="s">
        <v>129</v>
      </c>
      <c r="I11" s="10" t="s">
        <v>72</v>
      </c>
      <c r="J11" s="53" t="s">
        <v>113</v>
      </c>
      <c r="K11" s="53" t="s">
        <v>146</v>
      </c>
      <c r="L11" s="10" t="s">
        <v>53</v>
      </c>
      <c r="M11" s="10">
        <v>0.0</v>
      </c>
      <c r="N11" s="10" t="s">
        <v>54</v>
      </c>
      <c r="O11" s="10" t="s">
        <v>131</v>
      </c>
      <c r="P11" s="10">
        <v>111.0</v>
      </c>
      <c r="Q11" s="10" t="s">
        <v>56</v>
      </c>
      <c r="R11" s="10" t="s">
        <v>147</v>
      </c>
      <c r="S11" s="10" t="s">
        <v>148</v>
      </c>
      <c r="T11" s="10" t="s">
        <v>59</v>
      </c>
      <c r="U11" s="10" t="s">
        <v>118</v>
      </c>
      <c r="V11" s="2" t="s">
        <v>61</v>
      </c>
      <c r="W11" s="53">
        <v>4.0</v>
      </c>
      <c r="X11" s="4" t="s">
        <v>149</v>
      </c>
      <c r="Y11" s="54" t="s">
        <v>63</v>
      </c>
      <c r="Z11" s="55" t="s">
        <v>150</v>
      </c>
      <c r="AA11" s="11" t="s">
        <v>65</v>
      </c>
      <c r="AB11" s="56">
        <v>30.0</v>
      </c>
      <c r="AC11" s="57">
        <v>2.0</v>
      </c>
      <c r="AD11" s="58"/>
      <c r="AE11" s="58" t="s">
        <v>151</v>
      </c>
      <c r="AF11" s="59">
        <v>8.0</v>
      </c>
      <c r="AG11" s="15" t="s">
        <v>137</v>
      </c>
      <c r="AH11" s="55" t="s">
        <v>152</v>
      </c>
      <c r="AI11" s="11">
        <v>0.0</v>
      </c>
      <c r="AJ11" s="11">
        <v>0.0</v>
      </c>
      <c r="AK11" s="60">
        <v>500.0</v>
      </c>
      <c r="AL11" s="61">
        <f t="shared" ref="AL11:AL16" si="7">AK11/23/12/1.2</f>
        <v>1.509661836</v>
      </c>
      <c r="AM11" s="60">
        <v>0.0</v>
      </c>
      <c r="AN11" s="40">
        <f t="shared" si="5"/>
        <v>4000</v>
      </c>
      <c r="AO11" s="61">
        <f t="shared" si="6"/>
        <v>800</v>
      </c>
      <c r="AP11" s="62">
        <f>AK11/AK16</f>
        <v>1.25</v>
      </c>
      <c r="AQ11" s="63">
        <f t="shared" ref="AQ11:AQ16" si="8">AK11/270</f>
        <v>1.851851852</v>
      </c>
      <c r="AR11" s="64">
        <f t="shared" ref="AR11:AR16" si="9">AK11/1500</f>
        <v>0.3333333333</v>
      </c>
      <c r="AS11" s="53">
        <v>1.0</v>
      </c>
      <c r="AT11" s="53" t="s">
        <v>123</v>
      </c>
      <c r="AU11" s="21" t="s">
        <v>124</v>
      </c>
      <c r="AV11" s="65" t="s">
        <v>153</v>
      </c>
    </row>
    <row r="12" ht="40.5" customHeight="1">
      <c r="A12" s="2">
        <v>2013.0</v>
      </c>
      <c r="B12" s="10">
        <v>33.0</v>
      </c>
      <c r="C12" s="10">
        <v>1.0</v>
      </c>
      <c r="D12" s="10">
        <v>0.0</v>
      </c>
      <c r="E12" s="10">
        <f t="shared" si="4"/>
        <v>1</v>
      </c>
      <c r="F12" s="10">
        <v>2.0</v>
      </c>
      <c r="G12" s="26" t="s">
        <v>140</v>
      </c>
      <c r="H12" s="10" t="s">
        <v>129</v>
      </c>
      <c r="I12" s="10" t="s">
        <v>72</v>
      </c>
      <c r="J12" s="10" t="s">
        <v>113</v>
      </c>
      <c r="K12" s="10" t="s">
        <v>154</v>
      </c>
      <c r="L12" s="10" t="s">
        <v>53</v>
      </c>
      <c r="M12" s="10">
        <v>0.0</v>
      </c>
      <c r="N12" s="10" t="s">
        <v>54</v>
      </c>
      <c r="O12" s="10" t="s">
        <v>131</v>
      </c>
      <c r="P12" s="10">
        <v>111.0</v>
      </c>
      <c r="Q12" s="10" t="s">
        <v>56</v>
      </c>
      <c r="R12" s="10" t="s">
        <v>155</v>
      </c>
      <c r="S12" s="10" t="s">
        <v>148</v>
      </c>
      <c r="T12" s="10" t="s">
        <v>59</v>
      </c>
      <c r="U12" s="10" t="s">
        <v>134</v>
      </c>
      <c r="V12" s="2" t="s">
        <v>61</v>
      </c>
      <c r="W12" s="10">
        <v>2.0</v>
      </c>
      <c r="X12" s="4" t="s">
        <v>156</v>
      </c>
      <c r="Y12" s="4" t="s">
        <v>63</v>
      </c>
      <c r="Z12" s="15" t="s">
        <v>106</v>
      </c>
      <c r="AA12" s="11" t="s">
        <v>65</v>
      </c>
      <c r="AB12" s="27">
        <v>5.0</v>
      </c>
      <c r="AC12" s="13">
        <v>2.0</v>
      </c>
      <c r="AD12" s="11"/>
      <c r="AE12" s="11" t="s">
        <v>157</v>
      </c>
      <c r="AF12" s="27">
        <v>6.0</v>
      </c>
      <c r="AG12" s="15" t="s">
        <v>137</v>
      </c>
      <c r="AH12" s="15" t="s">
        <v>158</v>
      </c>
      <c r="AI12" s="11">
        <v>0.0</v>
      </c>
      <c r="AJ12" s="11">
        <v>0.0</v>
      </c>
      <c r="AK12" s="16">
        <v>600.0</v>
      </c>
      <c r="AL12" s="24">
        <f t="shared" si="7"/>
        <v>1.811594203</v>
      </c>
      <c r="AM12" s="16">
        <v>0.0</v>
      </c>
      <c r="AN12" s="40">
        <f t="shared" si="5"/>
        <v>3600</v>
      </c>
      <c r="AO12" s="24">
        <f t="shared" si="6"/>
        <v>720</v>
      </c>
      <c r="AP12" s="66">
        <f t="shared" ref="AP12:AP15" si="10">AK12/AK11</f>
        <v>1.2</v>
      </c>
      <c r="AQ12" s="19">
        <f t="shared" si="8"/>
        <v>2.222222222</v>
      </c>
      <c r="AR12" s="20">
        <f t="shared" si="9"/>
        <v>0.4</v>
      </c>
      <c r="AS12" s="10">
        <v>1.0</v>
      </c>
      <c r="AT12" s="10" t="s">
        <v>159</v>
      </c>
      <c r="AU12" s="21" t="s">
        <v>160</v>
      </c>
      <c r="AV12" s="21" t="s">
        <v>161</v>
      </c>
    </row>
    <row r="13" ht="40.5" customHeight="1">
      <c r="A13" s="2">
        <v>2014.0</v>
      </c>
      <c r="B13" s="10">
        <v>34.0</v>
      </c>
      <c r="C13" s="10">
        <v>1.0</v>
      </c>
      <c r="D13" s="10">
        <v>0.0</v>
      </c>
      <c r="E13" s="10">
        <f t="shared" si="4"/>
        <v>1</v>
      </c>
      <c r="F13" s="10">
        <v>2.0</v>
      </c>
      <c r="G13" s="26" t="s">
        <v>140</v>
      </c>
      <c r="H13" s="10" t="s">
        <v>129</v>
      </c>
      <c r="I13" s="10" t="s">
        <v>72</v>
      </c>
      <c r="J13" s="10" t="s">
        <v>113</v>
      </c>
      <c r="K13" s="10" t="s">
        <v>162</v>
      </c>
      <c r="L13" s="10" t="s">
        <v>163</v>
      </c>
      <c r="M13" s="10">
        <v>0.0</v>
      </c>
      <c r="N13" s="10" t="s">
        <v>100</v>
      </c>
      <c r="O13" s="10" t="s">
        <v>164</v>
      </c>
      <c r="P13" s="10">
        <v>111.0</v>
      </c>
      <c r="Q13" s="10" t="s">
        <v>56</v>
      </c>
      <c r="R13" s="10" t="s">
        <v>165</v>
      </c>
      <c r="S13" s="10" t="s">
        <v>148</v>
      </c>
      <c r="T13" s="10" t="s">
        <v>59</v>
      </c>
      <c r="U13" s="10" t="s">
        <v>134</v>
      </c>
      <c r="V13" s="2" t="s">
        <v>61</v>
      </c>
      <c r="W13" s="10">
        <v>3.0</v>
      </c>
      <c r="X13" s="4" t="s">
        <v>166</v>
      </c>
      <c r="Y13" s="4" t="s">
        <v>63</v>
      </c>
      <c r="Z13" s="15" t="s">
        <v>167</v>
      </c>
      <c r="AA13" s="11" t="s">
        <v>65</v>
      </c>
      <c r="AB13" s="27">
        <v>15.0</v>
      </c>
      <c r="AC13" s="13">
        <v>2.0</v>
      </c>
      <c r="AD13" s="11"/>
      <c r="AE13" s="11" t="s">
        <v>151</v>
      </c>
      <c r="AF13" s="27">
        <v>9.0</v>
      </c>
      <c r="AG13" s="15" t="s">
        <v>137</v>
      </c>
      <c r="AH13" s="15" t="s">
        <v>168</v>
      </c>
      <c r="AI13" s="11">
        <v>0.0</v>
      </c>
      <c r="AJ13" s="11">
        <v>0.0</v>
      </c>
      <c r="AK13" s="16">
        <v>800.0</v>
      </c>
      <c r="AL13" s="24">
        <f t="shared" si="7"/>
        <v>2.415458937</v>
      </c>
      <c r="AM13" s="16">
        <v>0.0</v>
      </c>
      <c r="AN13" s="40">
        <f t="shared" si="5"/>
        <v>7200</v>
      </c>
      <c r="AO13" s="24">
        <f t="shared" si="6"/>
        <v>1440</v>
      </c>
      <c r="AP13" s="66">
        <f t="shared" si="10"/>
        <v>1.333333333</v>
      </c>
      <c r="AQ13" s="19">
        <f t="shared" si="8"/>
        <v>2.962962963</v>
      </c>
      <c r="AR13" s="19">
        <f t="shared" si="9"/>
        <v>0.5333333333</v>
      </c>
      <c r="AS13" s="10">
        <v>1.0</v>
      </c>
      <c r="AT13" s="10" t="s">
        <v>123</v>
      </c>
      <c r="AU13" s="21" t="s">
        <v>160</v>
      </c>
      <c r="AV13" s="21" t="s">
        <v>169</v>
      </c>
    </row>
    <row r="14" ht="40.5" customHeight="1">
      <c r="A14" s="2">
        <v>2015.0</v>
      </c>
      <c r="B14" s="10">
        <v>35.0</v>
      </c>
      <c r="C14" s="10">
        <v>2.0</v>
      </c>
      <c r="D14" s="10">
        <v>0.0</v>
      </c>
      <c r="E14" s="10">
        <f t="shared" si="4"/>
        <v>2</v>
      </c>
      <c r="F14" s="10">
        <v>3.0</v>
      </c>
      <c r="G14" s="26" t="s">
        <v>170</v>
      </c>
      <c r="H14" s="10" t="s">
        <v>171</v>
      </c>
      <c r="I14" s="10" t="s">
        <v>172</v>
      </c>
      <c r="J14" s="10" t="s">
        <v>113</v>
      </c>
      <c r="K14" s="10" t="s">
        <v>173</v>
      </c>
      <c r="L14" s="10" t="s">
        <v>163</v>
      </c>
      <c r="M14" s="10">
        <v>0.0</v>
      </c>
      <c r="N14" s="10" t="s">
        <v>100</v>
      </c>
      <c r="O14" s="10" t="s">
        <v>164</v>
      </c>
      <c r="P14" s="10">
        <v>111.0</v>
      </c>
      <c r="Q14" s="10" t="s">
        <v>56</v>
      </c>
      <c r="R14" s="10" t="s">
        <v>174</v>
      </c>
      <c r="S14" s="10" t="s">
        <v>148</v>
      </c>
      <c r="T14" s="10" t="s">
        <v>175</v>
      </c>
      <c r="U14" s="10" t="s">
        <v>134</v>
      </c>
      <c r="V14" s="2" t="s">
        <v>61</v>
      </c>
      <c r="W14" s="10">
        <v>5.0</v>
      </c>
      <c r="X14" s="4" t="s">
        <v>176</v>
      </c>
      <c r="Y14" s="4" t="s">
        <v>63</v>
      </c>
      <c r="Z14" s="15" t="s">
        <v>177</v>
      </c>
      <c r="AA14" s="11" t="s">
        <v>65</v>
      </c>
      <c r="AB14" s="67">
        <v>100.0</v>
      </c>
      <c r="AC14" s="13">
        <v>1.0</v>
      </c>
      <c r="AD14" s="11"/>
      <c r="AE14" s="11" t="s">
        <v>178</v>
      </c>
      <c r="AF14" s="27">
        <v>11.0</v>
      </c>
      <c r="AG14" s="15" t="s">
        <v>137</v>
      </c>
      <c r="AH14" s="15" t="s">
        <v>179</v>
      </c>
      <c r="AI14" s="11">
        <v>0.0</v>
      </c>
      <c r="AJ14" s="11">
        <v>1.0</v>
      </c>
      <c r="AK14" s="16">
        <v>1000.0</v>
      </c>
      <c r="AL14" s="24">
        <f t="shared" si="7"/>
        <v>3.019323671</v>
      </c>
      <c r="AM14" s="16">
        <v>0.0</v>
      </c>
      <c r="AN14" s="40">
        <f t="shared" si="5"/>
        <v>11000</v>
      </c>
      <c r="AO14" s="24">
        <f>AN14*0.3</f>
        <v>3300</v>
      </c>
      <c r="AP14" s="66">
        <f t="shared" si="10"/>
        <v>1.25</v>
      </c>
      <c r="AQ14" s="19">
        <f t="shared" si="8"/>
        <v>3.703703704</v>
      </c>
      <c r="AR14" s="19">
        <f t="shared" si="9"/>
        <v>0.6666666667</v>
      </c>
      <c r="AS14" s="10">
        <v>2.0</v>
      </c>
      <c r="AT14" s="10" t="s">
        <v>123</v>
      </c>
      <c r="AU14" s="21" t="s">
        <v>160</v>
      </c>
      <c r="AV14" s="21" t="s">
        <v>180</v>
      </c>
    </row>
    <row r="15" ht="40.5" customHeight="1">
      <c r="A15" s="68">
        <v>2016.0</v>
      </c>
      <c r="B15" s="10">
        <v>36.0</v>
      </c>
      <c r="C15" s="10">
        <v>5.0</v>
      </c>
      <c r="D15" s="10">
        <v>0.0</v>
      </c>
      <c r="E15" s="10">
        <f t="shared" si="4"/>
        <v>5</v>
      </c>
      <c r="F15" s="10">
        <v>3.0</v>
      </c>
      <c r="G15" s="26" t="s">
        <v>170</v>
      </c>
      <c r="H15" s="10" t="s">
        <v>129</v>
      </c>
      <c r="I15" s="10" t="s">
        <v>72</v>
      </c>
      <c r="J15" s="2" t="s">
        <v>113</v>
      </c>
      <c r="K15" s="2" t="s">
        <v>181</v>
      </c>
      <c r="L15" s="10" t="s">
        <v>163</v>
      </c>
      <c r="M15" s="10">
        <v>0.0</v>
      </c>
      <c r="N15" s="10" t="s">
        <v>54</v>
      </c>
      <c r="O15" s="10" t="s">
        <v>164</v>
      </c>
      <c r="P15" s="10">
        <v>111.0</v>
      </c>
      <c r="Q15" s="10" t="s">
        <v>56</v>
      </c>
      <c r="R15" s="10" t="s">
        <v>182</v>
      </c>
      <c r="S15" s="10" t="s">
        <v>183</v>
      </c>
      <c r="T15" s="10" t="s">
        <v>175</v>
      </c>
      <c r="U15" s="10" t="s">
        <v>118</v>
      </c>
      <c r="V15" s="2" t="s">
        <v>61</v>
      </c>
      <c r="W15" s="2">
        <v>6.0</v>
      </c>
      <c r="X15" s="4" t="s">
        <v>166</v>
      </c>
      <c r="Y15" s="4" t="s">
        <v>63</v>
      </c>
      <c r="Z15" s="15" t="s">
        <v>184</v>
      </c>
      <c r="AA15" s="11" t="s">
        <v>65</v>
      </c>
      <c r="AB15" s="67">
        <v>800.0</v>
      </c>
      <c r="AC15" s="13">
        <v>1.0</v>
      </c>
      <c r="AD15" s="11"/>
      <c r="AE15" s="11" t="s">
        <v>185</v>
      </c>
      <c r="AF15" s="27">
        <v>10.0</v>
      </c>
      <c r="AG15" s="15" t="s">
        <v>137</v>
      </c>
      <c r="AH15" s="15" t="s">
        <v>186</v>
      </c>
      <c r="AI15" s="11">
        <v>0.0</v>
      </c>
      <c r="AJ15" s="11">
        <v>1.0</v>
      </c>
      <c r="AK15" s="16">
        <v>3000.0</v>
      </c>
      <c r="AL15" s="24">
        <f t="shared" si="7"/>
        <v>9.057971014</v>
      </c>
      <c r="AM15" s="16">
        <v>0.0</v>
      </c>
      <c r="AN15" s="40">
        <f>(30000+20000)</f>
        <v>50000</v>
      </c>
      <c r="AO15" s="24">
        <f>AN15*0.35</f>
        <v>17500</v>
      </c>
      <c r="AP15" s="69">
        <f t="shared" si="10"/>
        <v>3</v>
      </c>
      <c r="AQ15" s="70">
        <f t="shared" si="8"/>
        <v>11.11111111</v>
      </c>
      <c r="AR15" s="19">
        <f t="shared" si="9"/>
        <v>2</v>
      </c>
      <c r="AS15" s="71">
        <v>2.0</v>
      </c>
      <c r="AT15" s="10" t="s">
        <v>159</v>
      </c>
      <c r="AU15" s="21" t="s">
        <v>160</v>
      </c>
      <c r="AV15" s="21" t="s">
        <v>187</v>
      </c>
    </row>
    <row r="16" ht="40.5" customHeight="1">
      <c r="A16" s="2">
        <v>2016.0</v>
      </c>
      <c r="B16" s="25">
        <v>36.0</v>
      </c>
      <c r="C16" s="10">
        <v>0.0</v>
      </c>
      <c r="D16" s="10">
        <v>10.0</v>
      </c>
      <c r="E16" s="10">
        <f t="shared" si="4"/>
        <v>-10</v>
      </c>
      <c r="F16" s="10">
        <v>2.0</v>
      </c>
      <c r="G16" s="26" t="s">
        <v>188</v>
      </c>
      <c r="H16" s="10" t="s">
        <v>129</v>
      </c>
      <c r="I16" s="10" t="s">
        <v>72</v>
      </c>
      <c r="J16" s="10" t="s">
        <v>113</v>
      </c>
      <c r="K16" s="10" t="s">
        <v>189</v>
      </c>
      <c r="L16" s="10" t="s">
        <v>53</v>
      </c>
      <c r="M16" s="10">
        <v>0.0</v>
      </c>
      <c r="N16" s="10" t="s">
        <v>54</v>
      </c>
      <c r="O16" s="10" t="s">
        <v>190</v>
      </c>
      <c r="P16" s="10">
        <v>111.0</v>
      </c>
      <c r="Q16" s="10" t="s">
        <v>56</v>
      </c>
      <c r="R16" s="10" t="s">
        <v>191</v>
      </c>
      <c r="S16" s="10" t="s">
        <v>192</v>
      </c>
      <c r="T16" s="10" t="s">
        <v>175</v>
      </c>
      <c r="U16" s="10" t="s">
        <v>134</v>
      </c>
      <c r="V16" s="2" t="s">
        <v>61</v>
      </c>
      <c r="W16" s="10">
        <v>4.0</v>
      </c>
      <c r="X16" s="4" t="s">
        <v>193</v>
      </c>
      <c r="Y16" s="4" t="s">
        <v>63</v>
      </c>
      <c r="Z16" s="15" t="s">
        <v>119</v>
      </c>
      <c r="AA16" s="11" t="s">
        <v>65</v>
      </c>
      <c r="AB16" s="27">
        <v>10.0</v>
      </c>
      <c r="AC16" s="13">
        <v>3.0</v>
      </c>
      <c r="AD16" s="11"/>
      <c r="AE16" s="11" t="s">
        <v>194</v>
      </c>
      <c r="AF16" s="27">
        <v>6.0</v>
      </c>
      <c r="AG16" s="15" t="s">
        <v>137</v>
      </c>
      <c r="AH16" s="15" t="s">
        <v>195</v>
      </c>
      <c r="AI16" s="11">
        <v>0.0</v>
      </c>
      <c r="AJ16" s="11">
        <v>1.0</v>
      </c>
      <c r="AK16" s="72">
        <v>400.0</v>
      </c>
      <c r="AL16" s="24">
        <f t="shared" si="7"/>
        <v>1.207729469</v>
      </c>
      <c r="AM16" s="16">
        <v>0.0</v>
      </c>
      <c r="AN16" s="40">
        <f>AK16*AF16</f>
        <v>2400</v>
      </c>
      <c r="AO16" s="24">
        <f>AN16*0.2</f>
        <v>480</v>
      </c>
      <c r="AP16" s="17"/>
      <c r="AQ16" s="19">
        <f t="shared" si="8"/>
        <v>1.481481481</v>
      </c>
      <c r="AR16" s="20">
        <f t="shared" si="9"/>
        <v>0.2666666667</v>
      </c>
      <c r="AS16" s="10">
        <v>2.0</v>
      </c>
      <c r="AT16" s="10" t="s">
        <v>123</v>
      </c>
      <c r="AU16" s="21" t="s">
        <v>160</v>
      </c>
      <c r="AV16" s="21" t="s">
        <v>196</v>
      </c>
    </row>
    <row r="17" ht="26.25" customHeight="1">
      <c r="A17" s="29" t="s">
        <v>197</v>
      </c>
      <c r="B17" s="30"/>
      <c r="C17" s="30"/>
      <c r="D17" s="30"/>
      <c r="E17" s="30"/>
      <c r="F17" s="30"/>
      <c r="G17" s="30"/>
      <c r="H17" s="30"/>
      <c r="I17" s="30"/>
      <c r="J17" s="30"/>
      <c r="K17" s="31"/>
      <c r="L17" s="32"/>
      <c r="M17" s="32"/>
      <c r="N17" s="32"/>
      <c r="O17" s="32"/>
      <c r="P17" s="32"/>
      <c r="Q17" s="32"/>
      <c r="R17" s="32"/>
      <c r="S17" s="32"/>
      <c r="T17" s="32"/>
      <c r="U17" s="32"/>
      <c r="V17" s="33"/>
      <c r="W17" s="33"/>
      <c r="X17" s="33"/>
      <c r="Y17" s="29" t="s">
        <v>198</v>
      </c>
      <c r="Z17" s="73"/>
      <c r="AA17" s="73"/>
      <c r="AB17" s="73"/>
      <c r="AC17" s="73"/>
      <c r="AD17" s="73"/>
      <c r="AE17" s="73"/>
      <c r="AF17" s="73"/>
      <c r="AG17" s="73"/>
      <c r="AH17" s="73"/>
      <c r="AI17" s="73"/>
      <c r="AJ17" s="74"/>
      <c r="AK17" s="74"/>
      <c r="AL17" s="75"/>
      <c r="AM17" s="34"/>
      <c r="AN17" s="34"/>
      <c r="AO17" s="35"/>
      <c r="AP17" s="36"/>
      <c r="AQ17" s="37"/>
      <c r="AR17" s="37"/>
      <c r="AS17" s="37"/>
      <c r="AT17" s="37"/>
      <c r="AU17" s="38"/>
      <c r="AV17" s="38"/>
    </row>
    <row r="18" ht="40.5" customHeight="1">
      <c r="A18" s="68">
        <v>2017.0</v>
      </c>
      <c r="B18" s="10">
        <v>37.0</v>
      </c>
      <c r="C18" s="10">
        <v>0.0</v>
      </c>
      <c r="D18" s="10">
        <v>20.0</v>
      </c>
      <c r="E18" s="10">
        <f t="shared" ref="E18:E26" si="11">C18-D18</f>
        <v>-20</v>
      </c>
      <c r="F18" s="10">
        <v>1.0</v>
      </c>
      <c r="G18" s="26" t="s">
        <v>140</v>
      </c>
      <c r="H18" s="10" t="s">
        <v>84</v>
      </c>
      <c r="I18" s="10" t="s">
        <v>50</v>
      </c>
      <c r="J18" s="10" t="s">
        <v>199</v>
      </c>
      <c r="K18" s="10" t="s">
        <v>200</v>
      </c>
      <c r="L18" s="10" t="s">
        <v>53</v>
      </c>
      <c r="M18" s="10">
        <v>0.0</v>
      </c>
      <c r="N18" s="10" t="s">
        <v>54</v>
      </c>
      <c r="O18" s="10" t="s">
        <v>190</v>
      </c>
      <c r="P18" s="10">
        <v>112.0</v>
      </c>
      <c r="Q18" s="10" t="s">
        <v>56</v>
      </c>
      <c r="R18" s="10" t="s">
        <v>201</v>
      </c>
      <c r="S18" s="10" t="s">
        <v>202</v>
      </c>
      <c r="T18" s="10" t="s">
        <v>175</v>
      </c>
      <c r="U18" s="10" t="s">
        <v>134</v>
      </c>
      <c r="V18" s="10" t="s">
        <v>203</v>
      </c>
      <c r="W18" s="10">
        <v>7.0</v>
      </c>
      <c r="X18" s="4" t="s">
        <v>204</v>
      </c>
      <c r="Y18" s="15" t="s">
        <v>205</v>
      </c>
      <c r="Z18" s="15" t="s">
        <v>206</v>
      </c>
      <c r="AA18" s="11" t="s">
        <v>65</v>
      </c>
      <c r="AB18" s="27">
        <v>2000.0</v>
      </c>
      <c r="AC18" s="11">
        <v>1.0</v>
      </c>
      <c r="AD18" s="76" t="s">
        <v>207</v>
      </c>
      <c r="AE18" s="11" t="s">
        <v>208</v>
      </c>
      <c r="AF18" s="27">
        <v>1.0</v>
      </c>
      <c r="AG18" s="15" t="s">
        <v>209</v>
      </c>
      <c r="AH18" s="15" t="s">
        <v>210</v>
      </c>
      <c r="AI18" s="11">
        <v>2.0</v>
      </c>
      <c r="AJ18" s="11">
        <v>2.0</v>
      </c>
      <c r="AK18" s="16">
        <v>5000.0</v>
      </c>
      <c r="AL18" s="77">
        <f t="shared" ref="AL18:AL25" si="12">AK18/23/12/1.2</f>
        <v>15.09661836</v>
      </c>
      <c r="AM18" s="39">
        <v>0.0</v>
      </c>
      <c r="AN18" s="40">
        <f t="shared" ref="AN18:AN26" si="13">AK18*AF18</f>
        <v>5000</v>
      </c>
      <c r="AO18" s="39">
        <v>8300.0</v>
      </c>
      <c r="AP18" s="66">
        <f>AK18/AK15</f>
        <v>1.666666667</v>
      </c>
      <c r="AQ18" s="19">
        <f t="shared" ref="AQ18:AQ26" si="14">AK18/270</f>
        <v>18.51851852</v>
      </c>
      <c r="AR18" s="19">
        <f t="shared" ref="AR18:AR23" si="15">AK18/1500</f>
        <v>3.333333333</v>
      </c>
      <c r="AS18" s="10">
        <v>3.0</v>
      </c>
      <c r="AT18" s="2" t="s">
        <v>211</v>
      </c>
      <c r="AU18" s="21" t="s">
        <v>124</v>
      </c>
      <c r="AV18" s="21" t="s">
        <v>212</v>
      </c>
    </row>
    <row r="19" ht="40.5" customHeight="1">
      <c r="A19" s="68">
        <v>2017.0</v>
      </c>
      <c r="B19" s="10">
        <v>37.0</v>
      </c>
      <c r="C19" s="10">
        <v>0.0</v>
      </c>
      <c r="D19" s="10">
        <v>10.0</v>
      </c>
      <c r="E19" s="10">
        <f t="shared" si="11"/>
        <v>-10</v>
      </c>
      <c r="F19" s="10">
        <v>1.0</v>
      </c>
      <c r="G19" s="26" t="s">
        <v>140</v>
      </c>
      <c r="H19" s="10" t="s">
        <v>84</v>
      </c>
      <c r="I19" s="10" t="s">
        <v>50</v>
      </c>
      <c r="J19" s="10" t="s">
        <v>213</v>
      </c>
      <c r="K19" s="10" t="s">
        <v>214</v>
      </c>
      <c r="L19" s="10" t="s">
        <v>163</v>
      </c>
      <c r="M19" s="10">
        <v>0.0</v>
      </c>
      <c r="N19" s="10" t="s">
        <v>54</v>
      </c>
      <c r="O19" s="10" t="s">
        <v>164</v>
      </c>
      <c r="P19" s="10">
        <v>112.0</v>
      </c>
      <c r="Q19" s="10" t="s">
        <v>56</v>
      </c>
      <c r="R19" s="10" t="s">
        <v>215</v>
      </c>
      <c r="S19" s="10" t="s">
        <v>202</v>
      </c>
      <c r="T19" s="10" t="s">
        <v>175</v>
      </c>
      <c r="U19" s="10" t="s">
        <v>134</v>
      </c>
      <c r="V19" s="10" t="s">
        <v>203</v>
      </c>
      <c r="W19" s="10">
        <v>8.0</v>
      </c>
      <c r="X19" s="4" t="s">
        <v>204</v>
      </c>
      <c r="Y19" s="15" t="s">
        <v>205</v>
      </c>
      <c r="Z19" s="15" t="s">
        <v>216</v>
      </c>
      <c r="AA19" s="11" t="s">
        <v>65</v>
      </c>
      <c r="AB19" s="27">
        <v>300.0</v>
      </c>
      <c r="AC19" s="11">
        <v>1.0</v>
      </c>
      <c r="AD19" s="76" t="s">
        <v>207</v>
      </c>
      <c r="AE19" s="11" t="s">
        <v>217</v>
      </c>
      <c r="AF19" s="27">
        <v>2.0</v>
      </c>
      <c r="AG19" s="15" t="s">
        <v>209</v>
      </c>
      <c r="AH19" s="15" t="s">
        <v>218</v>
      </c>
      <c r="AI19" s="11">
        <v>3.0</v>
      </c>
      <c r="AJ19" s="11">
        <v>3.0</v>
      </c>
      <c r="AK19" s="16">
        <v>6000.0</v>
      </c>
      <c r="AL19" s="24">
        <f t="shared" si="12"/>
        <v>18.11594203</v>
      </c>
      <c r="AM19" s="16">
        <v>0.0</v>
      </c>
      <c r="AN19" s="40">
        <f t="shared" si="13"/>
        <v>12000</v>
      </c>
      <c r="AO19" s="39">
        <v>8300.0</v>
      </c>
      <c r="AP19" s="66">
        <f t="shared" ref="AP19:AP26" si="16">AK19/AK18</f>
        <v>1.2</v>
      </c>
      <c r="AQ19" s="19">
        <f t="shared" si="14"/>
        <v>22.22222222</v>
      </c>
      <c r="AR19" s="19">
        <f t="shared" si="15"/>
        <v>4</v>
      </c>
      <c r="AS19" s="10">
        <v>3.0</v>
      </c>
      <c r="AT19" s="10" t="s">
        <v>219</v>
      </c>
      <c r="AU19" s="21" t="s">
        <v>124</v>
      </c>
      <c r="AV19" s="78" t="s">
        <v>220</v>
      </c>
    </row>
    <row r="20" ht="40.5" customHeight="1">
      <c r="A20" s="68">
        <v>2017.0</v>
      </c>
      <c r="B20" s="10">
        <v>37.0</v>
      </c>
      <c r="C20" s="10">
        <v>0.0</v>
      </c>
      <c r="D20" s="10">
        <v>10.0</v>
      </c>
      <c r="E20" s="10">
        <f t="shared" si="11"/>
        <v>-10</v>
      </c>
      <c r="F20" s="10">
        <v>1.0</v>
      </c>
      <c r="G20" s="26" t="s">
        <v>140</v>
      </c>
      <c r="H20" s="10" t="s">
        <v>84</v>
      </c>
      <c r="I20" s="10" t="s">
        <v>50</v>
      </c>
      <c r="J20" s="10" t="s">
        <v>213</v>
      </c>
      <c r="K20" s="10" t="s">
        <v>221</v>
      </c>
      <c r="L20" s="10" t="s">
        <v>163</v>
      </c>
      <c r="M20" s="10">
        <v>1.0</v>
      </c>
      <c r="N20" s="10" t="s">
        <v>100</v>
      </c>
      <c r="O20" s="10" t="s">
        <v>164</v>
      </c>
      <c r="P20" s="10">
        <v>112.0</v>
      </c>
      <c r="Q20" s="10" t="s">
        <v>222</v>
      </c>
      <c r="R20" s="10" t="s">
        <v>223</v>
      </c>
      <c r="S20" s="10" t="s">
        <v>202</v>
      </c>
      <c r="T20" s="10" t="s">
        <v>175</v>
      </c>
      <c r="U20" s="10" t="s">
        <v>134</v>
      </c>
      <c r="V20" s="10" t="s">
        <v>203</v>
      </c>
      <c r="W20" s="10">
        <v>8.0</v>
      </c>
      <c r="X20" s="4" t="s">
        <v>204</v>
      </c>
      <c r="Y20" s="15" t="s">
        <v>205</v>
      </c>
      <c r="Z20" s="4" t="s">
        <v>224</v>
      </c>
      <c r="AA20" s="11" t="s">
        <v>65</v>
      </c>
      <c r="AB20" s="27">
        <v>250.0</v>
      </c>
      <c r="AC20" s="11">
        <v>1.0</v>
      </c>
      <c r="AD20" s="76" t="s">
        <v>207</v>
      </c>
      <c r="AE20" s="11" t="s">
        <v>225</v>
      </c>
      <c r="AF20" s="27">
        <v>8.0</v>
      </c>
      <c r="AG20" s="15" t="s">
        <v>209</v>
      </c>
      <c r="AH20" s="15" t="s">
        <v>226</v>
      </c>
      <c r="AI20" s="11">
        <v>4.0</v>
      </c>
      <c r="AJ20" s="11">
        <v>4.0</v>
      </c>
      <c r="AK20" s="16">
        <v>8000.0</v>
      </c>
      <c r="AL20" s="24">
        <f t="shared" si="12"/>
        <v>24.15458937</v>
      </c>
      <c r="AM20" s="16">
        <v>0.0</v>
      </c>
      <c r="AN20" s="40">
        <f t="shared" si="13"/>
        <v>64000</v>
      </c>
      <c r="AO20" s="39">
        <v>8300.0</v>
      </c>
      <c r="AP20" s="79">
        <f t="shared" si="16"/>
        <v>1.333333333</v>
      </c>
      <c r="AQ20" s="19">
        <f t="shared" si="14"/>
        <v>29.62962963</v>
      </c>
      <c r="AR20" s="80">
        <f t="shared" si="15"/>
        <v>5.333333333</v>
      </c>
      <c r="AS20" s="2">
        <v>3.0</v>
      </c>
      <c r="AT20" s="2" t="s">
        <v>211</v>
      </c>
      <c r="AU20" s="21" t="s">
        <v>124</v>
      </c>
      <c r="AV20" s="81" t="s">
        <v>227</v>
      </c>
    </row>
    <row r="21" ht="40.5" customHeight="1">
      <c r="A21" s="68">
        <v>2018.0</v>
      </c>
      <c r="B21" s="10">
        <v>38.0</v>
      </c>
      <c r="C21" s="10">
        <v>5.0</v>
      </c>
      <c r="D21" s="10">
        <v>0.0</v>
      </c>
      <c r="E21" s="10">
        <f t="shared" si="11"/>
        <v>5</v>
      </c>
      <c r="F21" s="10">
        <v>2.0</v>
      </c>
      <c r="G21" s="26" t="s">
        <v>140</v>
      </c>
      <c r="H21" s="10" t="s">
        <v>84</v>
      </c>
      <c r="I21" s="10" t="s">
        <v>50</v>
      </c>
      <c r="J21" s="10" t="s">
        <v>213</v>
      </c>
      <c r="K21" s="10" t="s">
        <v>228</v>
      </c>
      <c r="L21" s="10" t="s">
        <v>163</v>
      </c>
      <c r="M21" s="10">
        <v>0.0</v>
      </c>
      <c r="N21" s="10" t="s">
        <v>100</v>
      </c>
      <c r="O21" s="10" t="s">
        <v>164</v>
      </c>
      <c r="P21" s="10">
        <v>112.0</v>
      </c>
      <c r="Q21" s="10" t="s">
        <v>56</v>
      </c>
      <c r="R21" s="10" t="s">
        <v>229</v>
      </c>
      <c r="S21" s="10" t="s">
        <v>202</v>
      </c>
      <c r="T21" s="10" t="s">
        <v>175</v>
      </c>
      <c r="U21" s="10" t="s">
        <v>134</v>
      </c>
      <c r="V21" s="10" t="s">
        <v>203</v>
      </c>
      <c r="W21" s="10">
        <v>8.0</v>
      </c>
      <c r="X21" s="4" t="s">
        <v>204</v>
      </c>
      <c r="Y21" s="15" t="s">
        <v>205</v>
      </c>
      <c r="Z21" s="15" t="s">
        <v>230</v>
      </c>
      <c r="AA21" s="11" t="s">
        <v>65</v>
      </c>
      <c r="AB21" s="27">
        <v>100.0</v>
      </c>
      <c r="AC21" s="11">
        <v>1.0</v>
      </c>
      <c r="AD21" s="76" t="s">
        <v>207</v>
      </c>
      <c r="AE21" s="11" t="s">
        <v>231</v>
      </c>
      <c r="AF21" s="27">
        <v>3.0</v>
      </c>
      <c r="AG21" s="15" t="s">
        <v>209</v>
      </c>
      <c r="AH21" s="15" t="s">
        <v>232</v>
      </c>
      <c r="AI21" s="11">
        <v>5.0</v>
      </c>
      <c r="AJ21" s="11">
        <v>5.0</v>
      </c>
      <c r="AK21" s="16">
        <v>9000.0</v>
      </c>
      <c r="AL21" s="24">
        <f t="shared" si="12"/>
        <v>27.17391304</v>
      </c>
      <c r="AM21" s="16">
        <v>0.0</v>
      </c>
      <c r="AN21" s="40">
        <f t="shared" si="13"/>
        <v>27000</v>
      </c>
      <c r="AO21" s="16">
        <v>7500.0</v>
      </c>
      <c r="AP21" s="66">
        <f t="shared" si="16"/>
        <v>1.125</v>
      </c>
      <c r="AQ21" s="19">
        <f t="shared" si="14"/>
        <v>33.33333333</v>
      </c>
      <c r="AR21" s="19">
        <f t="shared" si="15"/>
        <v>6</v>
      </c>
      <c r="AS21" s="10">
        <v>4.0</v>
      </c>
      <c r="AT21" s="10" t="s">
        <v>233</v>
      </c>
      <c r="AU21" s="21" t="s">
        <v>124</v>
      </c>
      <c r="AV21" s="21" t="s">
        <v>234</v>
      </c>
    </row>
    <row r="22" ht="40.5" customHeight="1">
      <c r="A22" s="68">
        <v>2018.0</v>
      </c>
      <c r="B22" s="10">
        <v>38.0</v>
      </c>
      <c r="C22" s="10">
        <v>10.0</v>
      </c>
      <c r="D22" s="10">
        <v>0.0</v>
      </c>
      <c r="E22" s="10">
        <f t="shared" si="11"/>
        <v>10</v>
      </c>
      <c r="F22" s="10">
        <v>2.0</v>
      </c>
      <c r="G22" s="26" t="s">
        <v>140</v>
      </c>
      <c r="H22" s="10" t="s">
        <v>84</v>
      </c>
      <c r="I22" s="10" t="s">
        <v>50</v>
      </c>
      <c r="J22" s="10" t="s">
        <v>213</v>
      </c>
      <c r="K22" s="10" t="s">
        <v>235</v>
      </c>
      <c r="L22" s="10" t="s">
        <v>163</v>
      </c>
      <c r="M22" s="10">
        <v>0.0</v>
      </c>
      <c r="N22" s="10" t="s">
        <v>100</v>
      </c>
      <c r="O22" s="10" t="s">
        <v>164</v>
      </c>
      <c r="P22" s="10">
        <v>112.0</v>
      </c>
      <c r="Q22" s="10" t="s">
        <v>56</v>
      </c>
      <c r="R22" s="10" t="s">
        <v>236</v>
      </c>
      <c r="S22" s="10" t="s">
        <v>202</v>
      </c>
      <c r="T22" s="10" t="s">
        <v>175</v>
      </c>
      <c r="U22" s="10" t="s">
        <v>237</v>
      </c>
      <c r="V22" s="10" t="s">
        <v>203</v>
      </c>
      <c r="W22" s="10">
        <v>9.0</v>
      </c>
      <c r="X22" s="4" t="s">
        <v>204</v>
      </c>
      <c r="Y22" s="15" t="s">
        <v>205</v>
      </c>
      <c r="Z22" s="82" t="s">
        <v>238</v>
      </c>
      <c r="AA22" s="11" t="s">
        <v>65</v>
      </c>
      <c r="AB22" s="27">
        <v>300.0</v>
      </c>
      <c r="AC22" s="11">
        <v>1.0</v>
      </c>
      <c r="AD22" s="76" t="s">
        <v>207</v>
      </c>
      <c r="AE22" s="11" t="s">
        <v>225</v>
      </c>
      <c r="AF22" s="27">
        <v>3.0</v>
      </c>
      <c r="AG22" s="15" t="s">
        <v>209</v>
      </c>
      <c r="AH22" s="15" t="s">
        <v>239</v>
      </c>
      <c r="AI22" s="11">
        <v>6.0</v>
      </c>
      <c r="AJ22" s="11">
        <v>6.0</v>
      </c>
      <c r="AK22" s="16">
        <v>10000.0</v>
      </c>
      <c r="AL22" s="24">
        <f t="shared" si="12"/>
        <v>30.19323671</v>
      </c>
      <c r="AM22" s="16">
        <v>0.0</v>
      </c>
      <c r="AN22" s="40">
        <f t="shared" si="13"/>
        <v>30000</v>
      </c>
      <c r="AO22" s="16">
        <v>7500.0</v>
      </c>
      <c r="AP22" s="66">
        <f t="shared" si="16"/>
        <v>1.111111111</v>
      </c>
      <c r="AQ22" s="19">
        <f t="shared" si="14"/>
        <v>37.03703704</v>
      </c>
      <c r="AR22" s="19">
        <f t="shared" si="15"/>
        <v>6.666666667</v>
      </c>
      <c r="AS22" s="10">
        <v>4.0</v>
      </c>
      <c r="AT22" s="10" t="s">
        <v>123</v>
      </c>
      <c r="AU22" s="21" t="s">
        <v>124</v>
      </c>
      <c r="AV22" s="21" t="s">
        <v>240</v>
      </c>
    </row>
    <row r="23" ht="40.5" customHeight="1">
      <c r="A23" s="68">
        <v>2018.0</v>
      </c>
      <c r="B23" s="10">
        <v>38.0</v>
      </c>
      <c r="C23" s="10">
        <v>20.0</v>
      </c>
      <c r="D23" s="10">
        <v>0.0</v>
      </c>
      <c r="E23" s="10">
        <f t="shared" si="11"/>
        <v>20</v>
      </c>
      <c r="F23" s="10">
        <v>2.0</v>
      </c>
      <c r="G23" s="26" t="s">
        <v>140</v>
      </c>
      <c r="H23" s="10" t="s">
        <v>84</v>
      </c>
      <c r="I23" s="10" t="s">
        <v>50</v>
      </c>
      <c r="J23" s="10" t="s">
        <v>213</v>
      </c>
      <c r="K23" s="10" t="s">
        <v>241</v>
      </c>
      <c r="L23" s="10" t="s">
        <v>163</v>
      </c>
      <c r="M23" s="10">
        <v>0.0</v>
      </c>
      <c r="N23" s="10" t="s">
        <v>100</v>
      </c>
      <c r="O23" s="10" t="s">
        <v>164</v>
      </c>
      <c r="P23" s="10">
        <v>112.0</v>
      </c>
      <c r="Q23" s="10" t="s">
        <v>56</v>
      </c>
      <c r="R23" s="10" t="s">
        <v>242</v>
      </c>
      <c r="S23" s="10" t="s">
        <v>202</v>
      </c>
      <c r="T23" s="10" t="s">
        <v>175</v>
      </c>
      <c r="U23" s="10" t="s">
        <v>237</v>
      </c>
      <c r="V23" s="10" t="s">
        <v>203</v>
      </c>
      <c r="W23" s="10">
        <v>6.0</v>
      </c>
      <c r="X23" s="4" t="s">
        <v>204</v>
      </c>
      <c r="Y23" s="15" t="s">
        <v>205</v>
      </c>
      <c r="Z23" s="15" t="s">
        <v>243</v>
      </c>
      <c r="AA23" s="11" t="s">
        <v>65</v>
      </c>
      <c r="AB23" s="27">
        <v>200.0</v>
      </c>
      <c r="AC23" s="11">
        <v>1.0</v>
      </c>
      <c r="AD23" s="76" t="s">
        <v>207</v>
      </c>
      <c r="AE23" s="11" t="s">
        <v>217</v>
      </c>
      <c r="AF23" s="27">
        <v>2.0</v>
      </c>
      <c r="AG23" s="15" t="s">
        <v>209</v>
      </c>
      <c r="AH23" s="15" t="s">
        <v>244</v>
      </c>
      <c r="AI23" s="11">
        <v>7.0</v>
      </c>
      <c r="AJ23" s="11">
        <v>7.0</v>
      </c>
      <c r="AK23" s="16">
        <v>12000.0</v>
      </c>
      <c r="AL23" s="24">
        <f t="shared" si="12"/>
        <v>36.23188406</v>
      </c>
      <c r="AM23" s="16">
        <v>0.0</v>
      </c>
      <c r="AN23" s="40">
        <f t="shared" si="13"/>
        <v>24000</v>
      </c>
      <c r="AO23" s="16">
        <v>7500.0</v>
      </c>
      <c r="AP23" s="66">
        <f t="shared" si="16"/>
        <v>1.2</v>
      </c>
      <c r="AQ23" s="19">
        <f t="shared" si="14"/>
        <v>44.44444444</v>
      </c>
      <c r="AR23" s="70">
        <f t="shared" si="15"/>
        <v>8</v>
      </c>
      <c r="AS23" s="10">
        <v>4.0</v>
      </c>
      <c r="AT23" s="83" t="s">
        <v>245</v>
      </c>
      <c r="AU23" s="21" t="s">
        <v>124</v>
      </c>
      <c r="AV23" s="84" t="s">
        <v>246</v>
      </c>
    </row>
    <row r="24" ht="39.0" customHeight="1">
      <c r="A24" s="68">
        <v>2018.0</v>
      </c>
      <c r="B24" s="10">
        <v>38.0</v>
      </c>
      <c r="C24" s="10">
        <v>30.0</v>
      </c>
      <c r="D24" s="10">
        <v>0.0</v>
      </c>
      <c r="E24" s="10">
        <f t="shared" si="11"/>
        <v>30</v>
      </c>
      <c r="F24" s="10">
        <v>2.0</v>
      </c>
      <c r="G24" s="26" t="s">
        <v>170</v>
      </c>
      <c r="H24" s="10" t="s">
        <v>84</v>
      </c>
      <c r="I24" s="10" t="s">
        <v>50</v>
      </c>
      <c r="J24" s="10" t="s">
        <v>213</v>
      </c>
      <c r="K24" s="10" t="s">
        <v>247</v>
      </c>
      <c r="L24" s="10" t="s">
        <v>163</v>
      </c>
      <c r="M24" s="10">
        <v>0.0</v>
      </c>
      <c r="N24" s="10" t="s">
        <v>100</v>
      </c>
      <c r="O24" s="10" t="s">
        <v>164</v>
      </c>
      <c r="P24" s="10">
        <v>112.0</v>
      </c>
      <c r="Q24" s="10" t="s">
        <v>56</v>
      </c>
      <c r="R24" s="10" t="s">
        <v>248</v>
      </c>
      <c r="S24" s="10" t="s">
        <v>202</v>
      </c>
      <c r="T24" s="10" t="s">
        <v>175</v>
      </c>
      <c r="U24" s="10" t="s">
        <v>237</v>
      </c>
      <c r="V24" s="10" t="s">
        <v>203</v>
      </c>
      <c r="W24" s="10">
        <v>7.0</v>
      </c>
      <c r="X24" s="4" t="s">
        <v>249</v>
      </c>
      <c r="Y24" s="15" t="s">
        <v>205</v>
      </c>
      <c r="Z24" s="15" t="s">
        <v>250</v>
      </c>
      <c r="AA24" s="11" t="s">
        <v>65</v>
      </c>
      <c r="AB24" s="27">
        <v>150.0</v>
      </c>
      <c r="AC24" s="11">
        <v>1.0</v>
      </c>
      <c r="AD24" s="76" t="s">
        <v>207</v>
      </c>
      <c r="AE24" s="11" t="s">
        <v>217</v>
      </c>
      <c r="AF24" s="27">
        <v>5.0</v>
      </c>
      <c r="AG24" s="15" t="s">
        <v>209</v>
      </c>
      <c r="AH24" s="85" t="s">
        <v>251</v>
      </c>
      <c r="AI24" s="11">
        <v>8.0</v>
      </c>
      <c r="AJ24" s="11">
        <v>8.0</v>
      </c>
      <c r="AK24" s="16">
        <f>550*24*1.2</f>
        <v>15840</v>
      </c>
      <c r="AL24" s="24">
        <f t="shared" si="12"/>
        <v>47.82608696</v>
      </c>
      <c r="AM24" s="16">
        <v>0.0</v>
      </c>
      <c r="AN24" s="40">
        <f t="shared" si="13"/>
        <v>79200</v>
      </c>
      <c r="AO24" s="16">
        <v>7500.0</v>
      </c>
      <c r="AP24" s="66">
        <f t="shared" si="16"/>
        <v>1.32</v>
      </c>
      <c r="AQ24" s="19">
        <f t="shared" si="14"/>
        <v>58.66666667</v>
      </c>
      <c r="AR24" s="86">
        <f t="shared" ref="AR24:AR26" si="17">AK24/1500</f>
        <v>10.56</v>
      </c>
      <c r="AS24" s="10">
        <v>5.0</v>
      </c>
      <c r="AT24" s="10" t="s">
        <v>233</v>
      </c>
      <c r="AU24" s="21" t="s">
        <v>252</v>
      </c>
      <c r="AV24" s="21" t="s">
        <v>253</v>
      </c>
    </row>
    <row r="25" ht="39.0" customHeight="1">
      <c r="A25" s="68">
        <v>2019.0</v>
      </c>
      <c r="B25" s="10">
        <v>39.0</v>
      </c>
      <c r="C25" s="10">
        <v>40.0</v>
      </c>
      <c r="D25" s="10">
        <v>0.0</v>
      </c>
      <c r="E25" s="10">
        <f t="shared" si="11"/>
        <v>40</v>
      </c>
      <c r="F25" s="10">
        <v>3.0</v>
      </c>
      <c r="G25" s="26" t="s">
        <v>170</v>
      </c>
      <c r="H25" s="10" t="s">
        <v>84</v>
      </c>
      <c r="I25" s="10" t="s">
        <v>50</v>
      </c>
      <c r="J25" s="10" t="s">
        <v>213</v>
      </c>
      <c r="K25" s="10" t="s">
        <v>254</v>
      </c>
      <c r="L25" s="10" t="s">
        <v>163</v>
      </c>
      <c r="M25" s="10">
        <v>0.0</v>
      </c>
      <c r="N25" s="10" t="s">
        <v>100</v>
      </c>
      <c r="O25" s="10" t="s">
        <v>164</v>
      </c>
      <c r="P25" s="10">
        <v>112.0</v>
      </c>
      <c r="Q25" s="10" t="s">
        <v>255</v>
      </c>
      <c r="R25" s="10" t="s">
        <v>256</v>
      </c>
      <c r="S25" s="10" t="s">
        <v>202</v>
      </c>
      <c r="T25" s="10" t="s">
        <v>175</v>
      </c>
      <c r="U25" s="10" t="s">
        <v>237</v>
      </c>
      <c r="V25" s="10" t="s">
        <v>203</v>
      </c>
      <c r="W25" s="10">
        <v>6.0</v>
      </c>
      <c r="X25" s="4" t="s">
        <v>257</v>
      </c>
      <c r="Y25" s="15" t="s">
        <v>205</v>
      </c>
      <c r="Z25" s="15" t="s">
        <v>258</v>
      </c>
      <c r="AA25" s="11" t="s">
        <v>65</v>
      </c>
      <c r="AB25" s="27">
        <v>150.0</v>
      </c>
      <c r="AC25" s="11">
        <v>1.0</v>
      </c>
      <c r="AD25" s="87" t="s">
        <v>207</v>
      </c>
      <c r="AE25" s="15" t="s">
        <v>259</v>
      </c>
      <c r="AF25" s="27">
        <v>7.0</v>
      </c>
      <c r="AG25" s="15" t="s">
        <v>209</v>
      </c>
      <c r="AH25" s="15" t="s">
        <v>260</v>
      </c>
      <c r="AI25" s="11">
        <v>9.0</v>
      </c>
      <c r="AJ25" s="11">
        <v>9.0</v>
      </c>
      <c r="AK25" s="16">
        <v>19720.0</v>
      </c>
      <c r="AL25" s="77">
        <f t="shared" si="12"/>
        <v>59.5410628</v>
      </c>
      <c r="AM25" s="39">
        <v>0.0</v>
      </c>
      <c r="AN25" s="40">
        <f t="shared" si="13"/>
        <v>138040</v>
      </c>
      <c r="AO25" s="16">
        <v>10000.0</v>
      </c>
      <c r="AP25" s="66">
        <f t="shared" si="16"/>
        <v>1.244949495</v>
      </c>
      <c r="AQ25" s="19">
        <f t="shared" si="14"/>
        <v>73.03703704</v>
      </c>
      <c r="AR25" s="86">
        <f t="shared" si="17"/>
        <v>13.14666667</v>
      </c>
      <c r="AS25" s="10">
        <v>5.0</v>
      </c>
      <c r="AT25" s="10" t="s">
        <v>159</v>
      </c>
      <c r="AU25" s="21" t="s">
        <v>252</v>
      </c>
      <c r="AV25" s="21" t="s">
        <v>261</v>
      </c>
    </row>
    <row r="26" ht="39.0" customHeight="1">
      <c r="A26" s="68">
        <v>2019.0</v>
      </c>
      <c r="B26" s="10">
        <v>39.0</v>
      </c>
      <c r="C26" s="10">
        <v>50.0</v>
      </c>
      <c r="D26" s="10">
        <v>0.0</v>
      </c>
      <c r="E26" s="10">
        <f t="shared" si="11"/>
        <v>50</v>
      </c>
      <c r="F26" s="10">
        <v>3.0</v>
      </c>
      <c r="G26" s="26" t="s">
        <v>170</v>
      </c>
      <c r="H26" s="10" t="s">
        <v>84</v>
      </c>
      <c r="I26" s="10" t="s">
        <v>50</v>
      </c>
      <c r="J26" s="10" t="s">
        <v>213</v>
      </c>
      <c r="K26" s="10" t="s">
        <v>262</v>
      </c>
      <c r="L26" s="10" t="s">
        <v>163</v>
      </c>
      <c r="M26" s="10">
        <v>0.0</v>
      </c>
      <c r="N26" s="10" t="s">
        <v>100</v>
      </c>
      <c r="O26" s="10" t="s">
        <v>164</v>
      </c>
      <c r="P26" s="10">
        <v>112.0</v>
      </c>
      <c r="Q26" s="10" t="s">
        <v>56</v>
      </c>
      <c r="R26" s="10" t="s">
        <v>263</v>
      </c>
      <c r="S26" s="10" t="s">
        <v>264</v>
      </c>
      <c r="T26" s="10" t="s">
        <v>175</v>
      </c>
      <c r="U26" s="10" t="s">
        <v>237</v>
      </c>
      <c r="V26" s="10" t="s">
        <v>203</v>
      </c>
      <c r="W26" s="10">
        <v>8.0</v>
      </c>
      <c r="X26" s="15" t="s">
        <v>265</v>
      </c>
      <c r="Y26" s="15" t="s">
        <v>266</v>
      </c>
      <c r="Z26" s="15" t="s">
        <v>267</v>
      </c>
      <c r="AA26" s="27" t="s">
        <v>268</v>
      </c>
      <c r="AB26" s="27">
        <v>3000.0</v>
      </c>
      <c r="AC26" s="11">
        <v>1.0</v>
      </c>
      <c r="AD26" s="87" t="s">
        <v>207</v>
      </c>
      <c r="AE26" s="15" t="s">
        <v>269</v>
      </c>
      <c r="AF26" s="27">
        <v>2.0</v>
      </c>
      <c r="AG26" s="15" t="s">
        <v>209</v>
      </c>
      <c r="AH26" s="15" t="s">
        <v>270</v>
      </c>
      <c r="AI26" s="11">
        <v>10.0</v>
      </c>
      <c r="AJ26" s="11">
        <v>10.0</v>
      </c>
      <c r="AK26" s="16">
        <v>22000.0</v>
      </c>
      <c r="AL26" s="77">
        <f>AK26/4/8/5</f>
        <v>137.5</v>
      </c>
      <c r="AM26" s="39">
        <v>0.0</v>
      </c>
      <c r="AN26" s="40">
        <f t="shared" si="13"/>
        <v>44000</v>
      </c>
      <c r="AO26" s="16">
        <v>10000.0</v>
      </c>
      <c r="AP26" s="66">
        <f t="shared" si="16"/>
        <v>1.115618661</v>
      </c>
      <c r="AQ26" s="19">
        <f t="shared" si="14"/>
        <v>81.48148148</v>
      </c>
      <c r="AR26" s="86">
        <f t="shared" si="17"/>
        <v>14.66666667</v>
      </c>
      <c r="AS26" s="10">
        <v>5.0</v>
      </c>
      <c r="AT26" s="10" t="s">
        <v>233</v>
      </c>
      <c r="AU26" s="21" t="s">
        <v>271</v>
      </c>
      <c r="AV26" s="21" t="s">
        <v>272</v>
      </c>
    </row>
    <row r="27" ht="30.0" customHeight="1">
      <c r="A27" s="68">
        <v>2020.0</v>
      </c>
      <c r="B27" s="10">
        <v>39.0</v>
      </c>
      <c r="C27" s="88" t="s">
        <v>273</v>
      </c>
      <c r="L27" s="89"/>
      <c r="M27" s="89"/>
      <c r="N27" s="89" t="s">
        <v>274</v>
      </c>
      <c r="O27" s="89"/>
      <c r="P27" s="89"/>
      <c r="Q27" s="89"/>
      <c r="R27" s="89"/>
      <c r="S27" s="89"/>
      <c r="T27" s="89"/>
      <c r="U27" s="89"/>
      <c r="V27" s="88"/>
      <c r="W27" s="88"/>
      <c r="X27" s="88"/>
      <c r="Y27" s="88"/>
      <c r="Z27" s="90" t="s">
        <v>275</v>
      </c>
      <c r="AA27" s="30"/>
      <c r="AB27" s="30"/>
      <c r="AC27" s="30"/>
      <c r="AD27" s="30"/>
      <c r="AE27" s="30"/>
      <c r="AF27" s="31"/>
      <c r="AG27" s="91"/>
      <c r="AH27" s="30"/>
      <c r="AI27" s="30"/>
      <c r="AJ27" s="30"/>
      <c r="AK27" s="30"/>
      <c r="AL27" s="30"/>
      <c r="AM27" s="30"/>
      <c r="AN27" s="30"/>
      <c r="AO27" s="30"/>
      <c r="AP27" s="30"/>
      <c r="AQ27" s="30"/>
      <c r="AR27" s="30"/>
      <c r="AS27" s="30"/>
      <c r="AT27" s="30"/>
      <c r="AU27" s="30"/>
      <c r="AV27" s="31"/>
    </row>
    <row r="28" ht="30.0" customHeight="1">
      <c r="A28" s="68">
        <v>2020.0</v>
      </c>
      <c r="B28" s="10">
        <v>40.0</v>
      </c>
      <c r="C28" s="10">
        <v>85.0</v>
      </c>
      <c r="D28" s="10">
        <v>70.0</v>
      </c>
      <c r="E28" s="11">
        <f t="shared" ref="E28:E40" si="18">C28-D28</f>
        <v>15</v>
      </c>
      <c r="F28" s="92">
        <v>45019.0</v>
      </c>
      <c r="G28" s="26" t="s">
        <v>140</v>
      </c>
      <c r="H28" s="10" t="s">
        <v>84</v>
      </c>
      <c r="I28" s="10" t="s">
        <v>50</v>
      </c>
      <c r="J28" s="10" t="s">
        <v>213</v>
      </c>
      <c r="K28" s="10" t="s">
        <v>276</v>
      </c>
      <c r="L28" s="10" t="s">
        <v>163</v>
      </c>
      <c r="M28" s="10">
        <v>0.0</v>
      </c>
      <c r="N28" s="10" t="s">
        <v>54</v>
      </c>
      <c r="O28" s="10" t="s">
        <v>164</v>
      </c>
      <c r="P28" s="10">
        <v>112.0</v>
      </c>
      <c r="Q28" s="10" t="s">
        <v>56</v>
      </c>
      <c r="R28" s="10" t="s">
        <v>277</v>
      </c>
      <c r="S28" s="10" t="s">
        <v>202</v>
      </c>
      <c r="T28" s="10" t="s">
        <v>175</v>
      </c>
      <c r="U28" s="10" t="s">
        <v>237</v>
      </c>
      <c r="V28" s="10" t="s">
        <v>203</v>
      </c>
      <c r="W28" s="10">
        <v>7.0</v>
      </c>
      <c r="X28" s="15" t="s">
        <v>265</v>
      </c>
      <c r="Y28" s="15" t="s">
        <v>205</v>
      </c>
      <c r="Z28" s="10" t="s">
        <v>278</v>
      </c>
      <c r="AA28" s="15" t="s">
        <v>279</v>
      </c>
      <c r="AB28" s="27">
        <v>100.0</v>
      </c>
      <c r="AC28" s="11">
        <v>1.0</v>
      </c>
      <c r="AD28" s="87" t="s">
        <v>207</v>
      </c>
      <c r="AE28" s="15" t="s">
        <v>217</v>
      </c>
      <c r="AF28" s="27">
        <v>3.0</v>
      </c>
      <c r="AG28" s="15" t="s">
        <v>209</v>
      </c>
      <c r="AH28" s="15" t="s">
        <v>280</v>
      </c>
      <c r="AI28" s="11">
        <v>15.0</v>
      </c>
      <c r="AJ28" s="11">
        <v>10.0</v>
      </c>
      <c r="AK28" s="16">
        <f>500*23</f>
        <v>11500</v>
      </c>
      <c r="AL28" s="77">
        <f t="shared" ref="AL28:AL40" si="19">AK28/4/8/5</f>
        <v>71.875</v>
      </c>
      <c r="AM28" s="39">
        <v>0.0</v>
      </c>
      <c r="AN28" s="40">
        <f t="shared" ref="AN28:AN40" si="20">AK28*AF28</f>
        <v>34500</v>
      </c>
      <c r="AO28" s="16">
        <v>10000.0</v>
      </c>
      <c r="AP28" s="66" t="str">
        <f t="shared" ref="AP28:AP40" si="21">AK28/AK27</f>
        <v>#DIV/0!</v>
      </c>
      <c r="AQ28" s="19">
        <f t="shared" ref="AQ28:AQ40" si="22">AK28/270</f>
        <v>42.59259259</v>
      </c>
      <c r="AR28" s="86">
        <f t="shared" ref="AR28:AR40" si="23">AK28/1500</f>
        <v>7.666666667</v>
      </c>
      <c r="AS28" s="10">
        <v>7.0</v>
      </c>
      <c r="AT28" s="2" t="s">
        <v>211</v>
      </c>
      <c r="AU28" s="21" t="s">
        <v>271</v>
      </c>
      <c r="AV28" s="21" t="s">
        <v>281</v>
      </c>
    </row>
    <row r="29" ht="30.0" customHeight="1">
      <c r="A29" s="68">
        <v>2021.0</v>
      </c>
      <c r="B29" s="10">
        <v>41.0</v>
      </c>
      <c r="C29" s="10">
        <v>85.0</v>
      </c>
      <c r="D29" s="10">
        <v>80.0</v>
      </c>
      <c r="E29" s="11">
        <f t="shared" si="18"/>
        <v>5</v>
      </c>
      <c r="F29" s="92">
        <v>45018.0</v>
      </c>
      <c r="G29" s="26" t="s">
        <v>140</v>
      </c>
      <c r="H29" s="10" t="s">
        <v>84</v>
      </c>
      <c r="I29" s="10" t="s">
        <v>50</v>
      </c>
      <c r="J29" s="10" t="s">
        <v>213</v>
      </c>
      <c r="K29" s="10" t="s">
        <v>282</v>
      </c>
      <c r="L29" s="10" t="s">
        <v>163</v>
      </c>
      <c r="M29" s="10">
        <v>0.0</v>
      </c>
      <c r="N29" s="10" t="s">
        <v>54</v>
      </c>
      <c r="O29" s="10" t="s">
        <v>164</v>
      </c>
      <c r="P29" s="10">
        <v>112.0</v>
      </c>
      <c r="Q29" s="10" t="s">
        <v>56</v>
      </c>
      <c r="R29" s="10" t="s">
        <v>283</v>
      </c>
      <c r="S29" s="10" t="s">
        <v>202</v>
      </c>
      <c r="T29" s="10" t="s">
        <v>175</v>
      </c>
      <c r="U29" s="10" t="s">
        <v>237</v>
      </c>
      <c r="V29" s="10" t="s">
        <v>203</v>
      </c>
      <c r="W29" s="10">
        <v>7.0</v>
      </c>
      <c r="X29" s="15" t="s">
        <v>265</v>
      </c>
      <c r="Y29" s="15" t="s">
        <v>205</v>
      </c>
      <c r="Z29" s="10" t="s">
        <v>278</v>
      </c>
      <c r="AA29" s="15" t="s">
        <v>279</v>
      </c>
      <c r="AB29" s="27">
        <v>100.0</v>
      </c>
      <c r="AC29" s="11">
        <v>2.0</v>
      </c>
      <c r="AD29" s="87" t="s">
        <v>207</v>
      </c>
      <c r="AE29" s="15" t="s">
        <v>217</v>
      </c>
      <c r="AF29" s="27">
        <v>4.0</v>
      </c>
      <c r="AG29" s="15" t="s">
        <v>209</v>
      </c>
      <c r="AH29" s="15" t="s">
        <v>284</v>
      </c>
      <c r="AI29" s="11">
        <v>15.0</v>
      </c>
      <c r="AJ29" s="11">
        <v>15.0</v>
      </c>
      <c r="AK29" s="16">
        <f>(500+400)*23*1.2</f>
        <v>24840</v>
      </c>
      <c r="AL29" s="77">
        <f t="shared" si="19"/>
        <v>155.25</v>
      </c>
      <c r="AM29" s="39">
        <v>0.0</v>
      </c>
      <c r="AN29" s="40">
        <f t="shared" si="20"/>
        <v>99360</v>
      </c>
      <c r="AO29" s="16">
        <v>10000.0</v>
      </c>
      <c r="AP29" s="66">
        <f t="shared" si="21"/>
        <v>2.16</v>
      </c>
      <c r="AQ29" s="19">
        <f t="shared" si="22"/>
        <v>92</v>
      </c>
      <c r="AR29" s="86">
        <f t="shared" si="23"/>
        <v>16.56</v>
      </c>
      <c r="AS29" s="10">
        <v>7.0</v>
      </c>
      <c r="AT29" s="2" t="s">
        <v>211</v>
      </c>
      <c r="AU29" s="21" t="s">
        <v>285</v>
      </c>
      <c r="AV29" s="21" t="s">
        <v>286</v>
      </c>
    </row>
    <row r="30" ht="26.25" customHeight="1">
      <c r="A30" s="68">
        <v>2021.0</v>
      </c>
      <c r="B30" s="10">
        <v>41.0</v>
      </c>
      <c r="C30" s="10">
        <v>85.0</v>
      </c>
      <c r="D30" s="10">
        <v>100.0</v>
      </c>
      <c r="E30" s="11">
        <f t="shared" si="18"/>
        <v>-15</v>
      </c>
      <c r="F30" s="92">
        <v>45018.0</v>
      </c>
      <c r="G30" s="26" t="s">
        <v>140</v>
      </c>
      <c r="H30" s="10" t="s">
        <v>84</v>
      </c>
      <c r="I30" s="10" t="s">
        <v>50</v>
      </c>
      <c r="J30" s="10" t="s">
        <v>213</v>
      </c>
      <c r="K30" s="10" t="s">
        <v>276</v>
      </c>
      <c r="L30" s="10" t="s">
        <v>163</v>
      </c>
      <c r="M30" s="10">
        <v>0.0</v>
      </c>
      <c r="N30" s="10" t="s">
        <v>54</v>
      </c>
      <c r="O30" s="10" t="s">
        <v>164</v>
      </c>
      <c r="P30" s="10">
        <v>112.0</v>
      </c>
      <c r="Q30" s="10" t="s">
        <v>56</v>
      </c>
      <c r="R30" s="10" t="s">
        <v>287</v>
      </c>
      <c r="S30" s="10" t="s">
        <v>202</v>
      </c>
      <c r="T30" s="10" t="s">
        <v>175</v>
      </c>
      <c r="U30" s="10" t="s">
        <v>237</v>
      </c>
      <c r="V30" s="10" t="s">
        <v>203</v>
      </c>
      <c r="W30" s="10">
        <v>7.0</v>
      </c>
      <c r="X30" s="15" t="s">
        <v>265</v>
      </c>
      <c r="Y30" s="15" t="s">
        <v>205</v>
      </c>
      <c r="Z30" s="10" t="s">
        <v>278</v>
      </c>
      <c r="AA30" s="15" t="s">
        <v>279</v>
      </c>
      <c r="AB30" s="27">
        <v>100.0</v>
      </c>
      <c r="AC30" s="11">
        <v>1.0</v>
      </c>
      <c r="AD30" s="87" t="s">
        <v>207</v>
      </c>
      <c r="AE30" s="15" t="s">
        <v>217</v>
      </c>
      <c r="AF30" s="27">
        <v>1.0</v>
      </c>
      <c r="AG30" s="15" t="s">
        <v>209</v>
      </c>
      <c r="AH30" s="15" t="s">
        <v>288</v>
      </c>
      <c r="AI30" s="11">
        <v>15.0</v>
      </c>
      <c r="AJ30" s="11">
        <v>20.0</v>
      </c>
      <c r="AK30" s="16">
        <f t="shared" ref="AK30:AK32" si="24">500*23</f>
        <v>11500</v>
      </c>
      <c r="AL30" s="77">
        <f t="shared" si="19"/>
        <v>71.875</v>
      </c>
      <c r="AM30" s="39">
        <v>0.0</v>
      </c>
      <c r="AN30" s="40">
        <f t="shared" si="20"/>
        <v>11500</v>
      </c>
      <c r="AO30" s="16">
        <v>10000.0</v>
      </c>
      <c r="AP30" s="66">
        <f t="shared" si="21"/>
        <v>0.462962963</v>
      </c>
      <c r="AQ30" s="19">
        <f t="shared" si="22"/>
        <v>42.59259259</v>
      </c>
      <c r="AR30" s="86">
        <f t="shared" si="23"/>
        <v>7.666666667</v>
      </c>
      <c r="AS30" s="10">
        <v>7.0</v>
      </c>
      <c r="AT30" s="10" t="s">
        <v>289</v>
      </c>
      <c r="AU30" s="21" t="s">
        <v>290</v>
      </c>
      <c r="AV30" s="21" t="s">
        <v>291</v>
      </c>
    </row>
    <row r="31" ht="26.25" customHeight="1">
      <c r="A31" s="68">
        <v>2021.0</v>
      </c>
      <c r="B31" s="10">
        <v>41.0</v>
      </c>
      <c r="C31" s="10">
        <v>120.0</v>
      </c>
      <c r="D31" s="10">
        <v>80.0</v>
      </c>
      <c r="E31" s="11">
        <f t="shared" si="18"/>
        <v>40</v>
      </c>
      <c r="F31" s="92">
        <v>45018.0</v>
      </c>
      <c r="G31" s="26" t="s">
        <v>140</v>
      </c>
      <c r="H31" s="10" t="s">
        <v>84</v>
      </c>
      <c r="I31" s="10" t="s">
        <v>50</v>
      </c>
      <c r="J31" s="10" t="s">
        <v>213</v>
      </c>
      <c r="K31" s="10" t="s">
        <v>292</v>
      </c>
      <c r="L31" s="10" t="s">
        <v>163</v>
      </c>
      <c r="M31" s="10">
        <v>0.0</v>
      </c>
      <c r="N31" s="10" t="s">
        <v>100</v>
      </c>
      <c r="O31" s="10" t="s">
        <v>164</v>
      </c>
      <c r="P31" s="10">
        <v>112.0</v>
      </c>
      <c r="Q31" s="10" t="s">
        <v>56</v>
      </c>
      <c r="R31" s="10" t="s">
        <v>293</v>
      </c>
      <c r="S31" s="10" t="s">
        <v>202</v>
      </c>
      <c r="T31" s="10" t="s">
        <v>175</v>
      </c>
      <c r="U31" s="10" t="s">
        <v>237</v>
      </c>
      <c r="V31" s="10" t="s">
        <v>203</v>
      </c>
      <c r="W31" s="10">
        <v>9.0</v>
      </c>
      <c r="X31" s="15" t="s">
        <v>294</v>
      </c>
      <c r="Y31" s="15" t="s">
        <v>295</v>
      </c>
      <c r="Z31" s="10" t="s">
        <v>296</v>
      </c>
      <c r="AA31" s="15" t="s">
        <v>279</v>
      </c>
      <c r="AB31" s="27">
        <v>150.0</v>
      </c>
      <c r="AC31" s="92">
        <v>44257.0</v>
      </c>
      <c r="AD31" s="87" t="s">
        <v>207</v>
      </c>
      <c r="AE31" s="15" t="s">
        <v>217</v>
      </c>
      <c r="AF31" s="27">
        <v>6.0</v>
      </c>
      <c r="AG31" s="15" t="s">
        <v>209</v>
      </c>
      <c r="AH31" s="15" t="s">
        <v>297</v>
      </c>
      <c r="AI31" s="11">
        <v>15.0</v>
      </c>
      <c r="AJ31" s="11">
        <v>25.0</v>
      </c>
      <c r="AK31" s="16">
        <f t="shared" si="24"/>
        <v>11500</v>
      </c>
      <c r="AL31" s="77">
        <f t="shared" si="19"/>
        <v>71.875</v>
      </c>
      <c r="AM31" s="39">
        <v>0.0</v>
      </c>
      <c r="AN31" s="40">
        <f t="shared" si="20"/>
        <v>69000</v>
      </c>
      <c r="AO31" s="16">
        <v>3000.0</v>
      </c>
      <c r="AP31" s="66">
        <f t="shared" si="21"/>
        <v>1</v>
      </c>
      <c r="AQ31" s="19">
        <f t="shared" si="22"/>
        <v>42.59259259</v>
      </c>
      <c r="AR31" s="86">
        <f t="shared" si="23"/>
        <v>7.666666667</v>
      </c>
      <c r="AS31" s="10">
        <v>5.0</v>
      </c>
      <c r="AT31" s="10" t="s">
        <v>298</v>
      </c>
      <c r="AU31" s="21" t="s">
        <v>290</v>
      </c>
      <c r="AV31" s="21" t="s">
        <v>299</v>
      </c>
    </row>
    <row r="32" ht="26.25" customHeight="1">
      <c r="A32" s="68">
        <v>2021.0</v>
      </c>
      <c r="B32" s="10">
        <v>41.0</v>
      </c>
      <c r="C32" s="10">
        <v>120.0</v>
      </c>
      <c r="D32" s="10">
        <v>80.0</v>
      </c>
      <c r="E32" s="11">
        <f t="shared" si="18"/>
        <v>40</v>
      </c>
      <c r="F32" s="92">
        <v>45018.0</v>
      </c>
      <c r="G32" s="26" t="s">
        <v>140</v>
      </c>
      <c r="H32" s="10" t="s">
        <v>84</v>
      </c>
      <c r="I32" s="10" t="s">
        <v>50</v>
      </c>
      <c r="J32" s="10" t="s">
        <v>213</v>
      </c>
      <c r="K32" s="10" t="s">
        <v>300</v>
      </c>
      <c r="L32" s="10" t="s">
        <v>163</v>
      </c>
      <c r="M32" s="10">
        <v>0.0</v>
      </c>
      <c r="N32" s="10" t="s">
        <v>100</v>
      </c>
      <c r="O32" s="10" t="s">
        <v>164</v>
      </c>
      <c r="P32" s="10">
        <v>112.0</v>
      </c>
      <c r="Q32" s="10" t="s">
        <v>56</v>
      </c>
      <c r="R32" s="10" t="s">
        <v>301</v>
      </c>
      <c r="S32" s="10" t="s">
        <v>302</v>
      </c>
      <c r="T32" s="10" t="s">
        <v>175</v>
      </c>
      <c r="U32" s="10" t="s">
        <v>237</v>
      </c>
      <c r="V32" s="10" t="s">
        <v>203</v>
      </c>
      <c r="W32" s="10">
        <v>9.0</v>
      </c>
      <c r="X32" s="15" t="s">
        <v>294</v>
      </c>
      <c r="Y32" s="15" t="s">
        <v>303</v>
      </c>
      <c r="Z32" s="10" t="s">
        <v>304</v>
      </c>
      <c r="AA32" s="15" t="s">
        <v>279</v>
      </c>
      <c r="AB32" s="27">
        <v>1000.0</v>
      </c>
      <c r="AC32" s="92">
        <v>44257.0</v>
      </c>
      <c r="AD32" s="87" t="s">
        <v>207</v>
      </c>
      <c r="AE32" s="15" t="s">
        <v>217</v>
      </c>
      <c r="AF32" s="27">
        <v>6.0</v>
      </c>
      <c r="AG32" s="15" t="s">
        <v>209</v>
      </c>
      <c r="AH32" s="15" t="s">
        <v>305</v>
      </c>
      <c r="AI32" s="11">
        <v>20.0</v>
      </c>
      <c r="AJ32" s="11">
        <v>30.0</v>
      </c>
      <c r="AK32" s="16">
        <f t="shared" si="24"/>
        <v>11500</v>
      </c>
      <c r="AL32" s="77">
        <f t="shared" si="19"/>
        <v>71.875</v>
      </c>
      <c r="AM32" s="39">
        <v>0.0</v>
      </c>
      <c r="AN32" s="40">
        <f t="shared" si="20"/>
        <v>69000</v>
      </c>
      <c r="AO32" s="16">
        <v>3000.0</v>
      </c>
      <c r="AP32" s="66">
        <f t="shared" si="21"/>
        <v>1</v>
      </c>
      <c r="AQ32" s="19">
        <f t="shared" si="22"/>
        <v>42.59259259</v>
      </c>
      <c r="AR32" s="86">
        <f t="shared" si="23"/>
        <v>7.666666667</v>
      </c>
      <c r="AS32" s="10">
        <v>5.0</v>
      </c>
      <c r="AT32" s="10" t="s">
        <v>298</v>
      </c>
      <c r="AU32" s="21" t="s">
        <v>290</v>
      </c>
      <c r="AV32" s="21" t="s">
        <v>306</v>
      </c>
    </row>
    <row r="33" ht="26.25" customHeight="1">
      <c r="A33" s="68">
        <v>2021.0</v>
      </c>
      <c r="B33" s="10">
        <v>41.0</v>
      </c>
      <c r="C33" s="10">
        <v>120.0</v>
      </c>
      <c r="D33" s="10">
        <v>70.0</v>
      </c>
      <c r="E33" s="11">
        <f t="shared" si="18"/>
        <v>50</v>
      </c>
      <c r="F33" s="92">
        <v>45018.0</v>
      </c>
      <c r="G33" s="26" t="s">
        <v>140</v>
      </c>
      <c r="H33" s="10" t="s">
        <v>84</v>
      </c>
      <c r="I33" s="10" t="s">
        <v>50</v>
      </c>
      <c r="J33" s="10" t="s">
        <v>213</v>
      </c>
      <c r="K33" s="10" t="s">
        <v>307</v>
      </c>
      <c r="L33" s="10" t="s">
        <v>163</v>
      </c>
      <c r="M33" s="10">
        <v>0.0</v>
      </c>
      <c r="N33" s="10" t="s">
        <v>100</v>
      </c>
      <c r="O33" s="10" t="s">
        <v>164</v>
      </c>
      <c r="P33" s="10">
        <v>112.0</v>
      </c>
      <c r="Q33" s="10" t="s">
        <v>56</v>
      </c>
      <c r="R33" s="10" t="s">
        <v>308</v>
      </c>
      <c r="S33" s="10" t="s">
        <v>302</v>
      </c>
      <c r="T33" s="10" t="s">
        <v>175</v>
      </c>
      <c r="U33" s="10" t="s">
        <v>237</v>
      </c>
      <c r="V33" s="10" t="s">
        <v>203</v>
      </c>
      <c r="W33" s="10">
        <v>10.0</v>
      </c>
      <c r="X33" s="15" t="s">
        <v>265</v>
      </c>
      <c r="Y33" s="15" t="s">
        <v>205</v>
      </c>
      <c r="Z33" s="10" t="s">
        <v>296</v>
      </c>
      <c r="AA33" s="15" t="s">
        <v>279</v>
      </c>
      <c r="AB33" s="27">
        <v>150.0</v>
      </c>
      <c r="AC33" s="92">
        <v>44257.0</v>
      </c>
      <c r="AD33" s="87" t="s">
        <v>207</v>
      </c>
      <c r="AE33" s="15" t="s">
        <v>217</v>
      </c>
      <c r="AF33" s="27">
        <v>1.0</v>
      </c>
      <c r="AG33" s="15" t="s">
        <v>209</v>
      </c>
      <c r="AH33" s="15" t="s">
        <v>309</v>
      </c>
      <c r="AI33" s="11">
        <v>25.0</v>
      </c>
      <c r="AJ33" s="11">
        <v>35.0</v>
      </c>
      <c r="AK33" s="16">
        <v>5000.0</v>
      </c>
      <c r="AL33" s="77">
        <f t="shared" si="19"/>
        <v>31.25</v>
      </c>
      <c r="AM33" s="39">
        <v>0.0</v>
      </c>
      <c r="AN33" s="40">
        <f t="shared" si="20"/>
        <v>5000</v>
      </c>
      <c r="AO33" s="16">
        <v>1000.0</v>
      </c>
      <c r="AP33" s="66">
        <f t="shared" si="21"/>
        <v>0.4347826087</v>
      </c>
      <c r="AQ33" s="19">
        <f t="shared" si="22"/>
        <v>18.51851852</v>
      </c>
      <c r="AR33" s="86">
        <f t="shared" si="23"/>
        <v>3.333333333</v>
      </c>
      <c r="AS33" s="10">
        <v>6.0</v>
      </c>
      <c r="AT33" s="10" t="s">
        <v>310</v>
      </c>
      <c r="AU33" s="21" t="s">
        <v>290</v>
      </c>
      <c r="AV33" s="21" t="s">
        <v>311</v>
      </c>
    </row>
    <row r="34" ht="26.25" customHeight="1">
      <c r="A34" s="68">
        <v>2021.0</v>
      </c>
      <c r="B34" s="10">
        <v>41.0</v>
      </c>
      <c r="C34" s="10">
        <v>120.0</v>
      </c>
      <c r="D34" s="10">
        <v>70.0</v>
      </c>
      <c r="E34" s="11">
        <f t="shared" si="18"/>
        <v>50</v>
      </c>
      <c r="F34" s="92">
        <v>45018.0</v>
      </c>
      <c r="G34" s="26" t="s">
        <v>140</v>
      </c>
      <c r="H34" s="10" t="s">
        <v>49</v>
      </c>
      <c r="I34" s="10" t="s">
        <v>50</v>
      </c>
      <c r="J34" s="10" t="s">
        <v>213</v>
      </c>
      <c r="K34" s="10" t="s">
        <v>312</v>
      </c>
      <c r="L34" s="93" t="s">
        <v>53</v>
      </c>
      <c r="M34" s="10">
        <v>0.0</v>
      </c>
      <c r="N34" s="10" t="s">
        <v>100</v>
      </c>
      <c r="O34" s="10" t="s">
        <v>313</v>
      </c>
      <c r="P34" s="10">
        <v>112.0</v>
      </c>
      <c r="Q34" s="10" t="s">
        <v>56</v>
      </c>
      <c r="R34" s="10" t="s">
        <v>314</v>
      </c>
      <c r="S34" s="10" t="s">
        <v>302</v>
      </c>
      <c r="T34" s="10" t="s">
        <v>175</v>
      </c>
      <c r="U34" s="10" t="s">
        <v>315</v>
      </c>
      <c r="V34" s="10" t="s">
        <v>203</v>
      </c>
      <c r="W34" s="10">
        <v>2.0</v>
      </c>
      <c r="X34" s="15" t="s">
        <v>316</v>
      </c>
      <c r="Y34" s="15" t="s">
        <v>205</v>
      </c>
      <c r="Z34" s="10" t="s">
        <v>317</v>
      </c>
      <c r="AA34" s="15" t="s">
        <v>279</v>
      </c>
      <c r="AB34" s="27">
        <v>2500.0</v>
      </c>
      <c r="AC34" s="10">
        <v>1.0</v>
      </c>
      <c r="AD34" s="87" t="s">
        <v>207</v>
      </c>
      <c r="AE34" s="15" t="s">
        <v>66</v>
      </c>
      <c r="AF34" s="27">
        <v>1.0</v>
      </c>
      <c r="AG34" s="15" t="s">
        <v>318</v>
      </c>
      <c r="AH34" s="15" t="s">
        <v>319</v>
      </c>
      <c r="AI34" s="11">
        <v>30.0</v>
      </c>
      <c r="AJ34" s="11">
        <v>40.0</v>
      </c>
      <c r="AK34" s="16">
        <v>100.0</v>
      </c>
      <c r="AL34" s="77">
        <f t="shared" si="19"/>
        <v>0.625</v>
      </c>
      <c r="AM34" s="39">
        <v>0.0</v>
      </c>
      <c r="AN34" s="40">
        <f t="shared" si="20"/>
        <v>100</v>
      </c>
      <c r="AO34" s="16">
        <v>0.0</v>
      </c>
      <c r="AP34" s="66">
        <f t="shared" si="21"/>
        <v>0.02</v>
      </c>
      <c r="AQ34" s="19">
        <f t="shared" si="22"/>
        <v>0.3703703704</v>
      </c>
      <c r="AR34" s="86">
        <f t="shared" si="23"/>
        <v>0.06666666667</v>
      </c>
      <c r="AS34" s="10">
        <v>6.0</v>
      </c>
      <c r="AT34" s="10" t="s">
        <v>320</v>
      </c>
      <c r="AU34" s="21" t="s">
        <v>290</v>
      </c>
      <c r="AV34" s="21" t="s">
        <v>321</v>
      </c>
    </row>
    <row r="35" ht="26.25" customHeight="1">
      <c r="A35" s="68">
        <v>2022.0</v>
      </c>
      <c r="B35" s="10">
        <v>42.0</v>
      </c>
      <c r="C35" s="10">
        <v>100.0</v>
      </c>
      <c r="D35" s="10">
        <v>60.0</v>
      </c>
      <c r="E35" s="11">
        <f t="shared" si="18"/>
        <v>40</v>
      </c>
      <c r="F35" s="92">
        <v>45018.0</v>
      </c>
      <c r="G35" s="26" t="s">
        <v>140</v>
      </c>
      <c r="H35" s="10" t="s">
        <v>84</v>
      </c>
      <c r="I35" s="10" t="s">
        <v>50</v>
      </c>
      <c r="J35" s="10" t="s">
        <v>213</v>
      </c>
      <c r="K35" s="10" t="s">
        <v>292</v>
      </c>
      <c r="L35" s="10" t="s">
        <v>163</v>
      </c>
      <c r="M35" s="10">
        <v>0.0</v>
      </c>
      <c r="N35" s="10" t="s">
        <v>100</v>
      </c>
      <c r="O35" s="10" t="s">
        <v>164</v>
      </c>
      <c r="P35" s="10">
        <v>112.0</v>
      </c>
      <c r="Q35" s="10" t="s">
        <v>56</v>
      </c>
      <c r="R35" s="10" t="s">
        <v>293</v>
      </c>
      <c r="S35" s="10" t="s">
        <v>302</v>
      </c>
      <c r="T35" s="10" t="s">
        <v>175</v>
      </c>
      <c r="U35" s="10" t="s">
        <v>237</v>
      </c>
      <c r="V35" s="10" t="s">
        <v>203</v>
      </c>
      <c r="W35" s="10">
        <v>9.0</v>
      </c>
      <c r="X35" s="15" t="s">
        <v>294</v>
      </c>
      <c r="Y35" s="15" t="s">
        <v>295</v>
      </c>
      <c r="Z35" s="10" t="s">
        <v>296</v>
      </c>
      <c r="AA35" s="15" t="s">
        <v>279</v>
      </c>
      <c r="AB35" s="27">
        <v>150.0</v>
      </c>
      <c r="AC35" s="92">
        <v>44257.0</v>
      </c>
      <c r="AD35" s="87" t="s">
        <v>207</v>
      </c>
      <c r="AE35" s="15" t="s">
        <v>217</v>
      </c>
      <c r="AF35" s="27">
        <v>9.0</v>
      </c>
      <c r="AG35" s="15" t="s">
        <v>209</v>
      </c>
      <c r="AH35" s="15" t="s">
        <v>322</v>
      </c>
      <c r="AI35" s="11">
        <v>35.0</v>
      </c>
      <c r="AJ35" s="11">
        <v>45.0</v>
      </c>
      <c r="AK35" s="16">
        <f t="shared" ref="AK35:AK36" si="25">500*23</f>
        <v>11500</v>
      </c>
      <c r="AL35" s="77">
        <f t="shared" si="19"/>
        <v>71.875</v>
      </c>
      <c r="AM35" s="39">
        <v>0.0</v>
      </c>
      <c r="AN35" s="40">
        <f t="shared" si="20"/>
        <v>103500</v>
      </c>
      <c r="AO35" s="16">
        <v>3000.0</v>
      </c>
      <c r="AP35" s="66">
        <f t="shared" si="21"/>
        <v>115</v>
      </c>
      <c r="AQ35" s="19">
        <f t="shared" si="22"/>
        <v>42.59259259</v>
      </c>
      <c r="AR35" s="86">
        <f t="shared" si="23"/>
        <v>7.666666667</v>
      </c>
      <c r="AS35" s="10">
        <v>5.0</v>
      </c>
      <c r="AT35" s="10" t="s">
        <v>323</v>
      </c>
      <c r="AU35" s="21" t="s">
        <v>324</v>
      </c>
      <c r="AV35" s="21" t="s">
        <v>325</v>
      </c>
    </row>
    <row r="36" ht="26.25" customHeight="1">
      <c r="A36" s="68">
        <v>2022.0</v>
      </c>
      <c r="B36" s="10">
        <v>42.0</v>
      </c>
      <c r="C36" s="10">
        <v>80.0</v>
      </c>
      <c r="D36" s="10">
        <v>40.0</v>
      </c>
      <c r="E36" s="11">
        <f t="shared" si="18"/>
        <v>40</v>
      </c>
      <c r="F36" s="92">
        <v>45018.0</v>
      </c>
      <c r="G36" s="26" t="s">
        <v>140</v>
      </c>
      <c r="H36" s="10" t="s">
        <v>84</v>
      </c>
      <c r="I36" s="10" t="s">
        <v>50</v>
      </c>
      <c r="J36" s="10" t="s">
        <v>213</v>
      </c>
      <c r="K36" s="10" t="s">
        <v>300</v>
      </c>
      <c r="L36" s="10" t="s">
        <v>163</v>
      </c>
      <c r="M36" s="10">
        <v>0.0</v>
      </c>
      <c r="N36" s="10" t="s">
        <v>100</v>
      </c>
      <c r="O36" s="10" t="s">
        <v>164</v>
      </c>
      <c r="P36" s="10">
        <v>112.0</v>
      </c>
      <c r="Q36" s="10" t="s">
        <v>56</v>
      </c>
      <c r="R36" s="10" t="s">
        <v>326</v>
      </c>
      <c r="S36" s="10" t="s">
        <v>302</v>
      </c>
      <c r="T36" s="10" t="s">
        <v>175</v>
      </c>
      <c r="U36" s="10" t="s">
        <v>237</v>
      </c>
      <c r="V36" s="10" t="s">
        <v>203</v>
      </c>
      <c r="W36" s="10">
        <v>9.0</v>
      </c>
      <c r="X36" s="15" t="s">
        <v>294</v>
      </c>
      <c r="Y36" s="15" t="s">
        <v>303</v>
      </c>
      <c r="Z36" s="10" t="s">
        <v>304</v>
      </c>
      <c r="AA36" s="15" t="s">
        <v>279</v>
      </c>
      <c r="AB36" s="27">
        <v>1000.0</v>
      </c>
      <c r="AC36" s="92">
        <v>44257.0</v>
      </c>
      <c r="AD36" s="87" t="s">
        <v>207</v>
      </c>
      <c r="AE36" s="15" t="s">
        <v>217</v>
      </c>
      <c r="AF36" s="27">
        <v>6.0</v>
      </c>
      <c r="AG36" s="15" t="s">
        <v>209</v>
      </c>
      <c r="AH36" s="15" t="s">
        <v>327</v>
      </c>
      <c r="AI36" s="11">
        <v>40.0</v>
      </c>
      <c r="AJ36" s="11">
        <v>50.0</v>
      </c>
      <c r="AK36" s="16">
        <f t="shared" si="25"/>
        <v>11500</v>
      </c>
      <c r="AL36" s="77">
        <f t="shared" si="19"/>
        <v>71.875</v>
      </c>
      <c r="AM36" s="39">
        <v>0.0</v>
      </c>
      <c r="AN36" s="40">
        <f t="shared" si="20"/>
        <v>69000</v>
      </c>
      <c r="AO36" s="16">
        <v>3000.0</v>
      </c>
      <c r="AP36" s="66">
        <f t="shared" si="21"/>
        <v>1</v>
      </c>
      <c r="AQ36" s="19">
        <f t="shared" si="22"/>
        <v>42.59259259</v>
      </c>
      <c r="AR36" s="86">
        <f t="shared" si="23"/>
        <v>7.666666667</v>
      </c>
      <c r="AS36" s="10">
        <v>5.0</v>
      </c>
      <c r="AT36" s="10" t="s">
        <v>328</v>
      </c>
      <c r="AU36" s="21" t="s">
        <v>324</v>
      </c>
      <c r="AV36" s="21" t="s">
        <v>329</v>
      </c>
    </row>
    <row r="37" ht="26.25" customHeight="1">
      <c r="A37" s="68">
        <v>2022.0</v>
      </c>
      <c r="B37" s="10">
        <v>42.0</v>
      </c>
      <c r="C37" s="10">
        <v>60.0</v>
      </c>
      <c r="D37" s="10">
        <v>30.0</v>
      </c>
      <c r="E37" s="11">
        <f t="shared" si="18"/>
        <v>30</v>
      </c>
      <c r="F37" s="92">
        <v>45018.0</v>
      </c>
      <c r="G37" s="26" t="s">
        <v>140</v>
      </c>
      <c r="H37" s="10" t="s">
        <v>84</v>
      </c>
      <c r="I37" s="10" t="s">
        <v>50</v>
      </c>
      <c r="J37" s="10" t="s">
        <v>213</v>
      </c>
      <c r="K37" s="10" t="s">
        <v>330</v>
      </c>
      <c r="L37" s="93" t="s">
        <v>53</v>
      </c>
      <c r="M37" s="10">
        <v>0.0</v>
      </c>
      <c r="N37" s="10" t="s">
        <v>100</v>
      </c>
      <c r="O37" s="10" t="s">
        <v>331</v>
      </c>
      <c r="P37" s="10">
        <v>112.0</v>
      </c>
      <c r="Q37" s="10" t="s">
        <v>56</v>
      </c>
      <c r="R37" s="10" t="s">
        <v>332</v>
      </c>
      <c r="S37" s="10" t="s">
        <v>264</v>
      </c>
      <c r="T37" s="10" t="s">
        <v>175</v>
      </c>
      <c r="U37" s="10" t="s">
        <v>237</v>
      </c>
      <c r="V37" s="10" t="s">
        <v>333</v>
      </c>
      <c r="W37" s="10">
        <v>6.0</v>
      </c>
      <c r="X37" s="15" t="s">
        <v>294</v>
      </c>
      <c r="Y37" s="15" t="s">
        <v>334</v>
      </c>
      <c r="Z37" s="10" t="s">
        <v>335</v>
      </c>
      <c r="AA37" s="15" t="s">
        <v>279</v>
      </c>
      <c r="AB37" s="27">
        <v>750.0</v>
      </c>
      <c r="AC37" s="10">
        <v>2.0</v>
      </c>
      <c r="AD37" s="87" t="s">
        <v>207</v>
      </c>
      <c r="AE37" s="15" t="s">
        <v>217</v>
      </c>
      <c r="AF37" s="27">
        <v>2.0</v>
      </c>
      <c r="AG37" s="15" t="s">
        <v>209</v>
      </c>
      <c r="AH37" s="15" t="s">
        <v>336</v>
      </c>
      <c r="AI37" s="11">
        <v>45.0</v>
      </c>
      <c r="AJ37" s="11">
        <v>55.0</v>
      </c>
      <c r="AK37" s="16">
        <v>8000.0</v>
      </c>
      <c r="AL37" s="77">
        <f t="shared" si="19"/>
        <v>50</v>
      </c>
      <c r="AM37" s="39">
        <v>0.0</v>
      </c>
      <c r="AN37" s="40">
        <f t="shared" si="20"/>
        <v>16000</v>
      </c>
      <c r="AO37" s="16">
        <v>3000.0</v>
      </c>
      <c r="AP37" s="66">
        <f t="shared" si="21"/>
        <v>0.6956521739</v>
      </c>
      <c r="AQ37" s="19">
        <f t="shared" si="22"/>
        <v>29.62962963</v>
      </c>
      <c r="AR37" s="86">
        <f t="shared" si="23"/>
        <v>5.333333333</v>
      </c>
      <c r="AS37" s="10">
        <v>5.0</v>
      </c>
      <c r="AT37" s="83" t="s">
        <v>245</v>
      </c>
      <c r="AU37" s="21" t="s">
        <v>324</v>
      </c>
      <c r="AV37" s="21" t="s">
        <v>337</v>
      </c>
    </row>
    <row r="38" ht="26.25" customHeight="1">
      <c r="A38" s="68">
        <v>2022.0</v>
      </c>
      <c r="B38" s="10">
        <v>42.0</v>
      </c>
      <c r="C38" s="10">
        <v>20.0</v>
      </c>
      <c r="D38" s="10">
        <v>50.0</v>
      </c>
      <c r="E38" s="11">
        <f t="shared" si="18"/>
        <v>-30</v>
      </c>
      <c r="F38" s="92">
        <v>45018.0</v>
      </c>
      <c r="G38" s="26" t="s">
        <v>140</v>
      </c>
      <c r="H38" s="10" t="s">
        <v>84</v>
      </c>
      <c r="I38" s="10" t="s">
        <v>50</v>
      </c>
      <c r="J38" s="10" t="s">
        <v>213</v>
      </c>
      <c r="K38" s="10" t="s">
        <v>338</v>
      </c>
      <c r="L38" s="10" t="s">
        <v>163</v>
      </c>
      <c r="M38" s="10">
        <v>0.0</v>
      </c>
      <c r="N38" s="10" t="s">
        <v>100</v>
      </c>
      <c r="O38" s="10" t="s">
        <v>331</v>
      </c>
      <c r="P38" s="10">
        <v>112.0</v>
      </c>
      <c r="Q38" s="10" t="s">
        <v>56</v>
      </c>
      <c r="R38" s="10" t="s">
        <v>339</v>
      </c>
      <c r="S38" s="10" t="s">
        <v>302</v>
      </c>
      <c r="T38" s="10" t="s">
        <v>175</v>
      </c>
      <c r="U38" s="10" t="s">
        <v>237</v>
      </c>
      <c r="V38" s="10" t="s">
        <v>203</v>
      </c>
      <c r="W38" s="10">
        <v>9.0</v>
      </c>
      <c r="X38" s="15" t="s">
        <v>294</v>
      </c>
      <c r="Y38" s="15" t="s">
        <v>340</v>
      </c>
      <c r="Z38" s="10" t="s">
        <v>341</v>
      </c>
      <c r="AA38" s="15" t="s">
        <v>342</v>
      </c>
      <c r="AB38" s="27">
        <v>1500.0</v>
      </c>
      <c r="AC38" s="10">
        <v>1.0</v>
      </c>
      <c r="AD38" s="87" t="s">
        <v>207</v>
      </c>
      <c r="AE38" s="15" t="s">
        <v>217</v>
      </c>
      <c r="AF38" s="27">
        <v>6.0</v>
      </c>
      <c r="AG38" s="15" t="s">
        <v>209</v>
      </c>
      <c r="AH38" s="15" t="s">
        <v>343</v>
      </c>
      <c r="AI38" s="11">
        <v>50.0</v>
      </c>
      <c r="AJ38" s="11">
        <v>60.0</v>
      </c>
      <c r="AK38" s="16">
        <v>10000.0</v>
      </c>
      <c r="AL38" s="77">
        <f t="shared" si="19"/>
        <v>62.5</v>
      </c>
      <c r="AM38" s="39">
        <v>0.0</v>
      </c>
      <c r="AN38" s="40">
        <f t="shared" si="20"/>
        <v>60000</v>
      </c>
      <c r="AO38" s="16">
        <v>3000.0</v>
      </c>
      <c r="AP38" s="66">
        <f t="shared" si="21"/>
        <v>1.25</v>
      </c>
      <c r="AQ38" s="19">
        <f t="shared" si="22"/>
        <v>37.03703704</v>
      </c>
      <c r="AR38" s="86">
        <f t="shared" si="23"/>
        <v>6.666666667</v>
      </c>
      <c r="AS38" s="10">
        <v>5.0</v>
      </c>
      <c r="AT38" s="83" t="s">
        <v>344</v>
      </c>
      <c r="AU38" s="21" t="s">
        <v>345</v>
      </c>
      <c r="AV38" s="21" t="s">
        <v>346</v>
      </c>
    </row>
    <row r="39" ht="26.25" customHeight="1">
      <c r="A39" s="68">
        <v>2023.0</v>
      </c>
      <c r="B39" s="10">
        <v>43.0</v>
      </c>
      <c r="C39" s="10">
        <v>15.0</v>
      </c>
      <c r="D39" s="10">
        <v>45.0</v>
      </c>
      <c r="E39" s="11">
        <f t="shared" si="18"/>
        <v>-30</v>
      </c>
      <c r="F39" s="92">
        <v>45018.0</v>
      </c>
      <c r="G39" s="26" t="s">
        <v>140</v>
      </c>
      <c r="H39" s="10" t="s">
        <v>84</v>
      </c>
      <c r="I39" s="10" t="s">
        <v>50</v>
      </c>
      <c r="J39" s="10" t="s">
        <v>213</v>
      </c>
      <c r="K39" s="10" t="s">
        <v>338</v>
      </c>
      <c r="L39" s="10" t="s">
        <v>163</v>
      </c>
      <c r="M39" s="10">
        <v>0.0</v>
      </c>
      <c r="N39" s="10" t="s">
        <v>100</v>
      </c>
      <c r="O39" s="10" t="s">
        <v>331</v>
      </c>
      <c r="P39" s="10">
        <v>112.0</v>
      </c>
      <c r="Q39" s="10" t="s">
        <v>56</v>
      </c>
      <c r="R39" s="10" t="s">
        <v>347</v>
      </c>
      <c r="S39" s="10" t="s">
        <v>302</v>
      </c>
      <c r="T39" s="10" t="s">
        <v>175</v>
      </c>
      <c r="U39" s="10" t="s">
        <v>237</v>
      </c>
      <c r="V39" s="10" t="s">
        <v>203</v>
      </c>
      <c r="W39" s="10">
        <v>8.0</v>
      </c>
      <c r="X39" s="15" t="s">
        <v>348</v>
      </c>
      <c r="Y39" s="15" t="s">
        <v>340</v>
      </c>
      <c r="Z39" s="10" t="s">
        <v>341</v>
      </c>
      <c r="AA39" s="15" t="s">
        <v>279</v>
      </c>
      <c r="AB39" s="27">
        <v>1500.0</v>
      </c>
      <c r="AC39" s="10">
        <v>1.0</v>
      </c>
      <c r="AD39" s="87" t="s">
        <v>207</v>
      </c>
      <c r="AE39" s="15" t="s">
        <v>217</v>
      </c>
      <c r="AF39" s="27">
        <v>3.0</v>
      </c>
      <c r="AG39" s="15" t="s">
        <v>209</v>
      </c>
      <c r="AH39" s="15" t="s">
        <v>349</v>
      </c>
      <c r="AI39" s="11">
        <v>55.0</v>
      </c>
      <c r="AJ39" s="11">
        <v>65.0</v>
      </c>
      <c r="AK39" s="16">
        <v>10000.0</v>
      </c>
      <c r="AL39" s="77">
        <f t="shared" si="19"/>
        <v>62.5</v>
      </c>
      <c r="AM39" s="39">
        <v>0.0</v>
      </c>
      <c r="AN39" s="40">
        <f t="shared" si="20"/>
        <v>30000</v>
      </c>
      <c r="AO39" s="16">
        <v>3000.0</v>
      </c>
      <c r="AP39" s="66">
        <f t="shared" si="21"/>
        <v>1</v>
      </c>
      <c r="AQ39" s="19">
        <f t="shared" si="22"/>
        <v>37.03703704</v>
      </c>
      <c r="AR39" s="86">
        <f t="shared" si="23"/>
        <v>6.666666667</v>
      </c>
      <c r="AS39" s="10">
        <v>5.0</v>
      </c>
      <c r="AT39" s="83" t="s">
        <v>211</v>
      </c>
      <c r="AU39" s="21" t="s">
        <v>350</v>
      </c>
      <c r="AV39" s="21" t="s">
        <v>351</v>
      </c>
    </row>
    <row r="40" ht="26.25" customHeight="1">
      <c r="A40" s="68">
        <v>2023.0</v>
      </c>
      <c r="B40" s="10">
        <v>43.0</v>
      </c>
      <c r="C40" s="10">
        <v>6.0</v>
      </c>
      <c r="D40" s="10">
        <v>36.0</v>
      </c>
      <c r="E40" s="11">
        <f t="shared" si="18"/>
        <v>-30</v>
      </c>
      <c r="F40" s="10">
        <v>3.0</v>
      </c>
      <c r="G40" s="26" t="s">
        <v>140</v>
      </c>
      <c r="H40" s="10" t="s">
        <v>84</v>
      </c>
      <c r="I40" s="10" t="s">
        <v>50</v>
      </c>
      <c r="J40" s="10" t="s">
        <v>213</v>
      </c>
      <c r="K40" s="10" t="s">
        <v>352</v>
      </c>
      <c r="L40" s="10" t="s">
        <v>163</v>
      </c>
      <c r="M40" s="10">
        <v>1.0</v>
      </c>
      <c r="N40" s="10" t="s">
        <v>100</v>
      </c>
      <c r="O40" s="10" t="s">
        <v>331</v>
      </c>
      <c r="P40" s="10">
        <v>112.0</v>
      </c>
      <c r="Q40" s="10" t="s">
        <v>56</v>
      </c>
      <c r="R40" s="10" t="s">
        <v>353</v>
      </c>
      <c r="S40" s="10" t="s">
        <v>302</v>
      </c>
      <c r="T40" s="10" t="s">
        <v>175</v>
      </c>
      <c r="U40" s="10" t="s">
        <v>354</v>
      </c>
      <c r="V40" s="10" t="s">
        <v>355</v>
      </c>
      <c r="W40" s="10">
        <v>9.0</v>
      </c>
      <c r="X40" s="15" t="s">
        <v>356</v>
      </c>
      <c r="Y40" s="15" t="s">
        <v>357</v>
      </c>
      <c r="Z40" s="15" t="s">
        <v>358</v>
      </c>
      <c r="AA40" s="27" t="s">
        <v>65</v>
      </c>
      <c r="AB40" s="27">
        <v>10000.0</v>
      </c>
      <c r="AC40" s="10">
        <v>2.0</v>
      </c>
      <c r="AD40" s="15" t="s">
        <v>207</v>
      </c>
      <c r="AE40" s="15" t="s">
        <v>359</v>
      </c>
      <c r="AF40" s="27">
        <v>3.0</v>
      </c>
      <c r="AG40" s="15" t="s">
        <v>360</v>
      </c>
      <c r="AH40" s="15" t="s">
        <v>361</v>
      </c>
      <c r="AI40" s="11">
        <v>60.0</v>
      </c>
      <c r="AJ40" s="11">
        <v>72.0</v>
      </c>
      <c r="AK40" s="16">
        <v>30000.0</v>
      </c>
      <c r="AL40" s="77">
        <f t="shared" si="19"/>
        <v>187.5</v>
      </c>
      <c r="AM40" s="39">
        <v>0.0</v>
      </c>
      <c r="AN40" s="40">
        <f t="shared" si="20"/>
        <v>90000</v>
      </c>
      <c r="AO40" s="16">
        <v>3000.0</v>
      </c>
      <c r="AP40" s="66">
        <f t="shared" si="21"/>
        <v>3</v>
      </c>
      <c r="AQ40" s="19">
        <f t="shared" si="22"/>
        <v>111.1111111</v>
      </c>
      <c r="AR40" s="86">
        <f t="shared" si="23"/>
        <v>20</v>
      </c>
      <c r="AS40" s="10">
        <v>5.0</v>
      </c>
      <c r="AT40" s="83" t="s">
        <v>362</v>
      </c>
      <c r="AU40" s="21" t="s">
        <v>363</v>
      </c>
      <c r="AV40" s="21" t="s">
        <v>364</v>
      </c>
    </row>
    <row r="41" ht="26.25" customHeight="1">
      <c r="A41" s="94" t="s">
        <v>365</v>
      </c>
      <c r="L41" s="95"/>
      <c r="M41" s="96"/>
      <c r="N41" s="96" t="s">
        <v>100</v>
      </c>
      <c r="O41" s="95"/>
      <c r="P41" s="95"/>
      <c r="Q41" s="95"/>
      <c r="R41" s="95"/>
      <c r="S41" s="95"/>
      <c r="T41" s="95"/>
      <c r="U41" s="95"/>
      <c r="V41" s="95"/>
      <c r="W41" s="95"/>
      <c r="X41" s="97"/>
      <c r="Y41" s="29" t="s">
        <v>366</v>
      </c>
      <c r="Z41" s="73"/>
      <c r="AA41" s="73"/>
      <c r="AB41" s="73"/>
      <c r="AC41" s="73"/>
      <c r="AD41" s="73"/>
      <c r="AE41" s="73"/>
      <c r="AF41" s="73"/>
      <c r="AG41" s="73"/>
      <c r="AH41" s="73"/>
      <c r="AI41" s="73"/>
      <c r="AJ41" s="73"/>
      <c r="AK41" s="73"/>
      <c r="AL41" s="73"/>
      <c r="AM41" s="74"/>
      <c r="AN41" s="34"/>
      <c r="AO41" s="35"/>
      <c r="AP41" s="36"/>
      <c r="AQ41" s="37"/>
      <c r="AR41" s="37"/>
      <c r="AS41" s="37"/>
      <c r="AT41" s="37"/>
      <c r="AU41" s="38"/>
      <c r="AV41" s="38"/>
    </row>
    <row r="42" ht="26.25" customHeight="1">
      <c r="A42" s="68">
        <v>2024.0</v>
      </c>
      <c r="B42" s="10">
        <v>44.0</v>
      </c>
      <c r="C42" s="10">
        <v>10.0</v>
      </c>
      <c r="D42" s="10">
        <v>60.0</v>
      </c>
      <c r="E42" s="11">
        <v>-50.0</v>
      </c>
      <c r="F42" s="92">
        <v>45323.0</v>
      </c>
      <c r="G42" s="26" t="s">
        <v>140</v>
      </c>
      <c r="H42" s="10" t="s">
        <v>367</v>
      </c>
      <c r="I42" s="10" t="s">
        <v>368</v>
      </c>
      <c r="J42" s="10" t="s">
        <v>213</v>
      </c>
      <c r="K42" s="10" t="s">
        <v>369</v>
      </c>
      <c r="L42" s="93" t="s">
        <v>53</v>
      </c>
      <c r="M42" s="93">
        <v>1.0</v>
      </c>
      <c r="N42" s="93" t="s">
        <v>370</v>
      </c>
      <c r="O42" s="10" t="s">
        <v>371</v>
      </c>
      <c r="P42" s="93">
        <v>185.0</v>
      </c>
      <c r="Q42" s="10" t="s">
        <v>372</v>
      </c>
      <c r="R42" s="10" t="s">
        <v>373</v>
      </c>
      <c r="S42" s="93" t="s">
        <v>374</v>
      </c>
      <c r="T42" s="10" t="s">
        <v>175</v>
      </c>
      <c r="U42" s="10" t="s">
        <v>375</v>
      </c>
      <c r="V42" s="10" t="s">
        <v>376</v>
      </c>
      <c r="W42" s="10">
        <v>10.0</v>
      </c>
      <c r="X42" s="15" t="s">
        <v>377</v>
      </c>
      <c r="Y42" s="15" t="s">
        <v>378</v>
      </c>
      <c r="Z42" s="15" t="s">
        <v>379</v>
      </c>
      <c r="AA42" s="15" t="s">
        <v>342</v>
      </c>
      <c r="AB42" s="27">
        <v>150.0</v>
      </c>
      <c r="AC42" s="10">
        <v>1.0</v>
      </c>
      <c r="AD42" s="15" t="s">
        <v>380</v>
      </c>
      <c r="AE42" s="15" t="s">
        <v>371</v>
      </c>
      <c r="AF42" s="27">
        <v>24.0</v>
      </c>
      <c r="AG42" s="15" t="s">
        <v>360</v>
      </c>
      <c r="AH42" s="15" t="s">
        <v>381</v>
      </c>
      <c r="AI42" s="11">
        <v>120.0</v>
      </c>
      <c r="AJ42" s="11">
        <v>72.0</v>
      </c>
      <c r="AK42" s="16">
        <v>6000.0</v>
      </c>
      <c r="AL42" s="77">
        <f t="shared" ref="AL42:AL44" si="26">AK42/4/8/5</f>
        <v>37.5</v>
      </c>
      <c r="AM42" s="39">
        <v>0.0</v>
      </c>
      <c r="AN42" s="98">
        <v>104000.0</v>
      </c>
      <c r="AO42" s="16"/>
      <c r="AP42" s="66"/>
      <c r="AQ42" s="19"/>
      <c r="AR42" s="86"/>
      <c r="AS42" s="10"/>
      <c r="AT42" s="83"/>
      <c r="AU42" s="21" t="s">
        <v>382</v>
      </c>
      <c r="AV42" s="21" t="s">
        <v>383</v>
      </c>
    </row>
    <row r="43" ht="26.25" customHeight="1">
      <c r="A43" s="68">
        <v>2025.0</v>
      </c>
      <c r="B43" s="10">
        <v>45.0</v>
      </c>
      <c r="C43" s="10">
        <v>10.0</v>
      </c>
      <c r="D43" s="10">
        <v>60.0</v>
      </c>
      <c r="E43" s="11">
        <v>-50.0</v>
      </c>
      <c r="F43" s="92">
        <v>45323.0</v>
      </c>
      <c r="G43" s="26" t="s">
        <v>140</v>
      </c>
      <c r="H43" s="10" t="s">
        <v>367</v>
      </c>
      <c r="I43" s="10" t="s">
        <v>368</v>
      </c>
      <c r="J43" s="10" t="s">
        <v>371</v>
      </c>
      <c r="K43" s="10" t="s">
        <v>369</v>
      </c>
      <c r="L43" s="93" t="s">
        <v>53</v>
      </c>
      <c r="M43" s="93">
        <v>1.0</v>
      </c>
      <c r="N43" s="93" t="s">
        <v>370</v>
      </c>
      <c r="O43" s="10" t="s">
        <v>371</v>
      </c>
      <c r="P43" s="93">
        <v>185.0</v>
      </c>
      <c r="Q43" s="10" t="s">
        <v>372</v>
      </c>
      <c r="R43" s="10" t="s">
        <v>373</v>
      </c>
      <c r="S43" s="93" t="s">
        <v>374</v>
      </c>
      <c r="T43" s="10" t="s">
        <v>175</v>
      </c>
      <c r="U43" s="10" t="s">
        <v>375</v>
      </c>
      <c r="V43" s="10" t="s">
        <v>384</v>
      </c>
      <c r="W43" s="10">
        <v>10.0</v>
      </c>
      <c r="X43" s="15" t="s">
        <v>377</v>
      </c>
      <c r="Y43" s="15" t="s">
        <v>378</v>
      </c>
      <c r="Z43" s="15" t="s">
        <v>379</v>
      </c>
      <c r="AA43" s="15" t="s">
        <v>342</v>
      </c>
      <c r="AB43" s="27">
        <v>150.0</v>
      </c>
      <c r="AC43" s="10">
        <v>1.0</v>
      </c>
      <c r="AD43" s="15" t="s">
        <v>380</v>
      </c>
      <c r="AE43" s="15" t="s">
        <v>371</v>
      </c>
      <c r="AF43" s="27">
        <v>24.0</v>
      </c>
      <c r="AG43" s="15" t="s">
        <v>360</v>
      </c>
      <c r="AH43" s="15" t="s">
        <v>381</v>
      </c>
      <c r="AI43" s="11">
        <v>120.0</v>
      </c>
      <c r="AJ43" s="11">
        <v>72.0</v>
      </c>
      <c r="AK43" s="16">
        <v>6000.0</v>
      </c>
      <c r="AL43" s="77">
        <f t="shared" si="26"/>
        <v>37.5</v>
      </c>
      <c r="AM43" s="39">
        <v>0.0</v>
      </c>
      <c r="AN43" s="98">
        <v>104000.0</v>
      </c>
      <c r="AO43" s="16"/>
      <c r="AP43" s="66"/>
      <c r="AQ43" s="19"/>
      <c r="AR43" s="86"/>
      <c r="AS43" s="10"/>
      <c r="AT43" s="83"/>
      <c r="AU43" s="21" t="s">
        <v>382</v>
      </c>
      <c r="AV43" s="21" t="s">
        <v>385</v>
      </c>
    </row>
    <row r="44" ht="73.5" customHeight="1">
      <c r="A44" s="68">
        <v>2026.0</v>
      </c>
      <c r="B44" s="10">
        <v>46.0</v>
      </c>
      <c r="C44" s="10">
        <v>15.0</v>
      </c>
      <c r="D44" s="10">
        <v>75.0</v>
      </c>
      <c r="E44" s="11">
        <v>-60.0</v>
      </c>
      <c r="F44" s="92">
        <v>45323.0</v>
      </c>
      <c r="G44" s="26" t="s">
        <v>140</v>
      </c>
      <c r="H44" s="10" t="s">
        <v>367</v>
      </c>
      <c r="I44" s="10" t="s">
        <v>368</v>
      </c>
      <c r="J44" s="10" t="s">
        <v>371</v>
      </c>
      <c r="K44" s="10" t="s">
        <v>386</v>
      </c>
      <c r="L44" s="93" t="s">
        <v>53</v>
      </c>
      <c r="M44" s="93">
        <v>1.0</v>
      </c>
      <c r="N44" s="93" t="s">
        <v>370</v>
      </c>
      <c r="O44" s="10" t="s">
        <v>371</v>
      </c>
      <c r="P44" s="93">
        <v>185.0</v>
      </c>
      <c r="Q44" s="10" t="s">
        <v>387</v>
      </c>
      <c r="R44" s="10" t="s">
        <v>388</v>
      </c>
      <c r="S44" s="93" t="s">
        <v>374</v>
      </c>
      <c r="T44" s="10" t="s">
        <v>175</v>
      </c>
      <c r="U44" s="10" t="s">
        <v>389</v>
      </c>
      <c r="V44" s="10" t="s">
        <v>390</v>
      </c>
      <c r="W44" s="10">
        <v>10.0</v>
      </c>
      <c r="X44" s="15" t="s">
        <v>377</v>
      </c>
      <c r="Y44" s="15" t="s">
        <v>378</v>
      </c>
      <c r="Z44" s="15" t="s">
        <v>379</v>
      </c>
      <c r="AA44" s="15" t="s">
        <v>342</v>
      </c>
      <c r="AB44" s="27">
        <v>150.0</v>
      </c>
      <c r="AC44" s="10">
        <v>1.0</v>
      </c>
      <c r="AD44" s="15" t="s">
        <v>380</v>
      </c>
      <c r="AE44" s="15" t="s">
        <v>371</v>
      </c>
      <c r="AF44" s="27">
        <v>24.0</v>
      </c>
      <c r="AG44" s="15" t="s">
        <v>360</v>
      </c>
      <c r="AH44" s="15" t="s">
        <v>381</v>
      </c>
      <c r="AI44" s="11">
        <v>120.0</v>
      </c>
      <c r="AJ44" s="11">
        <v>72.0</v>
      </c>
      <c r="AK44" s="16">
        <v>7000.0</v>
      </c>
      <c r="AL44" s="77">
        <f t="shared" si="26"/>
        <v>43.75</v>
      </c>
      <c r="AM44" s="39">
        <v>0.0</v>
      </c>
      <c r="AN44" s="98">
        <v>114000.0</v>
      </c>
      <c r="AO44" s="16"/>
      <c r="AP44" s="66"/>
      <c r="AQ44" s="19"/>
      <c r="AR44" s="86"/>
      <c r="AS44" s="10"/>
      <c r="AT44" s="83"/>
      <c r="AU44" s="21" t="s">
        <v>382</v>
      </c>
      <c r="AV44" s="21" t="s">
        <v>391</v>
      </c>
    </row>
    <row r="45" ht="73.5" customHeight="1">
      <c r="A45" s="68">
        <v>2026.0</v>
      </c>
      <c r="B45" s="99" t="s">
        <v>392</v>
      </c>
      <c r="C45" s="18"/>
      <c r="D45" s="18">
        <v>0.0</v>
      </c>
      <c r="E45" s="92"/>
      <c r="F45" s="10"/>
      <c r="G45" s="26" t="s">
        <v>393</v>
      </c>
      <c r="H45" s="10" t="s">
        <v>394</v>
      </c>
      <c r="I45" s="10" t="s">
        <v>395</v>
      </c>
      <c r="J45" s="10" t="s">
        <v>396</v>
      </c>
      <c r="K45" s="10" t="s">
        <v>397</v>
      </c>
      <c r="L45" s="10" t="s">
        <v>163</v>
      </c>
      <c r="M45" s="10"/>
      <c r="N45" s="10"/>
      <c r="O45" s="10" t="s">
        <v>398</v>
      </c>
      <c r="P45" s="10"/>
      <c r="Q45" s="10"/>
      <c r="R45" s="10" t="s">
        <v>399</v>
      </c>
      <c r="S45" s="10"/>
      <c r="T45" s="10" t="s">
        <v>400</v>
      </c>
      <c r="U45" s="10" t="s">
        <v>401</v>
      </c>
      <c r="V45" s="10" t="s">
        <v>402</v>
      </c>
      <c r="W45" s="10">
        <v>20.0</v>
      </c>
      <c r="X45" s="15" t="s">
        <v>403</v>
      </c>
      <c r="Y45" s="15" t="s">
        <v>404</v>
      </c>
      <c r="Z45" s="15" t="s">
        <v>405</v>
      </c>
      <c r="AA45" s="27"/>
      <c r="AB45" s="27"/>
      <c r="AC45" s="15"/>
      <c r="AD45" s="100"/>
      <c r="AE45" s="100"/>
      <c r="AF45" s="16"/>
      <c r="AG45" s="15"/>
      <c r="AH45" s="15" t="s">
        <v>406</v>
      </c>
      <c r="AI45" s="11">
        <v>200.0</v>
      </c>
      <c r="AJ45" s="15">
        <v>80.0</v>
      </c>
      <c r="AK45" s="24"/>
      <c r="AL45" s="101"/>
      <c r="AM45" s="39"/>
      <c r="AN45" s="101"/>
      <c r="AO45" s="101" t="s">
        <v>407</v>
      </c>
      <c r="AP45" s="2"/>
      <c r="AQ45" s="6"/>
      <c r="AR45" s="6"/>
      <c r="AS45" s="10"/>
      <c r="AT45" s="10"/>
      <c r="AU45" s="21"/>
      <c r="AV45" s="21"/>
    </row>
    <row r="46" ht="30.0" customHeight="1">
      <c r="A46" s="102"/>
      <c r="B46" s="103"/>
      <c r="C46" s="103"/>
      <c r="D46" s="103"/>
      <c r="E46" s="103"/>
      <c r="F46" s="103"/>
      <c r="G46" s="104"/>
      <c r="H46" s="103"/>
      <c r="I46" s="105"/>
      <c r="J46" s="105"/>
      <c r="K46" s="105"/>
      <c r="L46" s="103"/>
      <c r="M46" s="103"/>
      <c r="N46" s="103"/>
      <c r="O46" s="103"/>
      <c r="P46" s="103"/>
      <c r="Q46" s="103"/>
      <c r="R46" s="103"/>
      <c r="S46" s="103"/>
      <c r="T46" s="103"/>
      <c r="U46" s="103"/>
      <c r="V46" s="105"/>
      <c r="W46" s="103"/>
      <c r="X46" s="106"/>
      <c r="Y46" s="106"/>
      <c r="Z46" s="107"/>
      <c r="AA46" s="107"/>
      <c r="AB46" s="107"/>
      <c r="AC46" s="108"/>
      <c r="AD46" s="108"/>
      <c r="AE46" s="108"/>
      <c r="AF46" s="109"/>
      <c r="AG46" s="108"/>
      <c r="AH46" s="110"/>
      <c r="AI46" s="110"/>
      <c r="AJ46" s="110"/>
      <c r="AK46" s="111"/>
      <c r="AL46" s="112"/>
      <c r="AM46" s="113"/>
      <c r="AN46" s="114"/>
      <c r="AO46" s="114"/>
      <c r="AP46" s="115"/>
      <c r="AQ46" s="116"/>
      <c r="AR46" s="116"/>
      <c r="AS46" s="117"/>
      <c r="AT46" s="117"/>
      <c r="AU46" s="118"/>
      <c r="AV46" s="118"/>
    </row>
    <row r="47" ht="30.0" customHeight="1">
      <c r="A47" s="68"/>
      <c r="B47" s="17"/>
      <c r="C47" s="17"/>
      <c r="D47" s="17"/>
      <c r="E47" s="17"/>
      <c r="F47" s="17"/>
      <c r="G47" s="104"/>
      <c r="H47" s="17"/>
      <c r="I47" s="18"/>
      <c r="J47" s="18"/>
      <c r="K47" s="18"/>
      <c r="L47" s="17"/>
      <c r="M47" s="17"/>
      <c r="N47" s="17"/>
      <c r="O47" s="17"/>
      <c r="P47" s="17"/>
      <c r="Q47" s="17"/>
      <c r="R47" s="17"/>
      <c r="S47" s="17"/>
      <c r="T47" s="17"/>
      <c r="U47" s="17"/>
      <c r="V47" s="18" t="s">
        <v>408</v>
      </c>
      <c r="W47" s="17"/>
      <c r="X47" s="15"/>
      <c r="Y47" s="15"/>
      <c r="Z47" s="100"/>
      <c r="AA47" s="100"/>
      <c r="AB47" s="100"/>
      <c r="AC47" s="119"/>
      <c r="AD47" s="119"/>
      <c r="AE47" s="119"/>
      <c r="AF47" s="67" t="s">
        <v>409</v>
      </c>
      <c r="AG47" s="119" t="s">
        <v>410</v>
      </c>
      <c r="AH47" s="120"/>
      <c r="AI47" s="120"/>
      <c r="AJ47" s="120"/>
      <c r="AL47" s="121"/>
      <c r="AM47" s="39"/>
      <c r="AN47" s="101"/>
      <c r="AO47" s="101"/>
      <c r="AP47" s="2"/>
      <c r="AQ47" s="6"/>
      <c r="AR47" s="6"/>
      <c r="AS47" s="10"/>
      <c r="AT47" s="10"/>
      <c r="AU47" s="21"/>
      <c r="AV47" s="21"/>
    </row>
    <row r="48" ht="30.0" customHeight="1">
      <c r="A48" s="68"/>
      <c r="B48" s="17"/>
      <c r="C48" s="17"/>
      <c r="D48" s="17"/>
      <c r="E48" s="17"/>
      <c r="F48" s="17"/>
      <c r="G48" s="104"/>
      <c r="H48" s="17"/>
      <c r="I48" s="17"/>
      <c r="J48" s="17"/>
      <c r="K48" s="17"/>
      <c r="L48" s="17"/>
      <c r="M48" s="17"/>
      <c r="N48" s="17"/>
      <c r="O48" s="17"/>
      <c r="P48" s="17"/>
      <c r="Q48" s="17"/>
      <c r="R48" s="17"/>
      <c r="S48" s="17"/>
      <c r="T48" s="17"/>
      <c r="U48" s="17"/>
      <c r="V48" s="18"/>
      <c r="W48" s="17"/>
      <c r="X48" s="15"/>
      <c r="Y48" s="15"/>
      <c r="Z48" s="100"/>
      <c r="AA48" s="100"/>
      <c r="AB48" s="100"/>
      <c r="AC48" s="119"/>
      <c r="AD48" s="119"/>
      <c r="AE48" s="119" t="s">
        <v>411</v>
      </c>
      <c r="AF48" s="122">
        <f>44/5</f>
        <v>8.8</v>
      </c>
      <c r="AG48" s="15" t="s">
        <v>65</v>
      </c>
      <c r="AH48" s="120"/>
      <c r="AI48" s="120"/>
      <c r="AJ48" s="120"/>
      <c r="AL48" s="121"/>
      <c r="AM48" s="123" t="s">
        <v>412</v>
      </c>
      <c r="AO48" s="101" t="s">
        <v>413</v>
      </c>
      <c r="AP48" s="2" t="s">
        <v>414</v>
      </c>
      <c r="AQ48" s="6" t="s">
        <v>415</v>
      </c>
      <c r="AR48" s="6" t="s">
        <v>416</v>
      </c>
      <c r="AS48" s="10"/>
      <c r="AT48" s="124" t="s">
        <v>417</v>
      </c>
      <c r="AU48" s="125" t="s">
        <v>418</v>
      </c>
      <c r="AV48" s="125"/>
    </row>
    <row r="49">
      <c r="A49" s="120"/>
      <c r="B49" s="121"/>
      <c r="C49" s="121"/>
      <c r="D49" s="121"/>
      <c r="E49" s="121"/>
      <c r="F49" s="121"/>
      <c r="G49" s="126"/>
      <c r="H49" s="121"/>
      <c r="I49" s="121"/>
      <c r="J49" s="121"/>
      <c r="K49" s="121"/>
      <c r="L49" s="121"/>
      <c r="M49" s="121"/>
      <c r="N49" s="121"/>
      <c r="O49" s="121"/>
      <c r="P49" s="121"/>
      <c r="Q49" s="121"/>
      <c r="R49" s="121"/>
      <c r="S49" s="121"/>
      <c r="T49" s="121"/>
      <c r="U49" s="121"/>
      <c r="V49" s="121"/>
      <c r="W49" s="121"/>
      <c r="X49" s="127"/>
      <c r="Y49" s="127"/>
      <c r="Z49" s="100"/>
      <c r="AA49" s="127"/>
      <c r="AB49" s="127"/>
      <c r="AC49" s="128"/>
      <c r="AD49" s="119"/>
      <c r="AE49" s="119" t="s">
        <v>419</v>
      </c>
      <c r="AF49" s="67">
        <f>AVERAGE(AF18:AF41)</f>
        <v>3.818181818</v>
      </c>
      <c r="AG49" s="15" t="s">
        <v>420</v>
      </c>
      <c r="AH49" s="120"/>
      <c r="AI49" s="120"/>
      <c r="AJ49" s="120"/>
      <c r="AL49" s="121"/>
      <c r="AM49" s="129"/>
      <c r="AO49" s="101" t="s">
        <v>63</v>
      </c>
      <c r="AP49" s="77">
        <f>Sum(AN9:AN16)</f>
        <v>83000</v>
      </c>
      <c r="AQ49" s="80">
        <f t="shared" ref="AQ49:AQ50" si="27">sum(AF9:AF16)</f>
        <v>62</v>
      </c>
      <c r="AR49" s="16">
        <f t="shared" ref="AR49:AR50" si="28">AP49/AQ49</f>
        <v>1338.709677</v>
      </c>
      <c r="AS49" s="120"/>
      <c r="AT49" s="130" t="s">
        <v>421</v>
      </c>
      <c r="AU49" s="131">
        <v>0.2</v>
      </c>
      <c r="AV49" s="130">
        <v>4.0</v>
      </c>
    </row>
    <row r="50">
      <c r="A50" s="120"/>
      <c r="B50" s="121"/>
      <c r="C50" s="121"/>
      <c r="D50" s="121"/>
      <c r="E50" s="121"/>
      <c r="F50" s="121"/>
      <c r="G50" s="126"/>
      <c r="H50" s="121"/>
      <c r="I50" s="121"/>
      <c r="J50" s="121"/>
      <c r="K50" s="121"/>
      <c r="L50" s="121"/>
      <c r="M50" s="121"/>
      <c r="N50" s="121"/>
      <c r="O50" s="121"/>
      <c r="P50" s="121"/>
      <c r="Q50" s="121"/>
      <c r="R50" s="121"/>
      <c r="S50" s="121"/>
      <c r="T50" s="121"/>
      <c r="U50" s="121"/>
      <c r="V50" s="121"/>
      <c r="W50" s="121"/>
      <c r="X50" s="132"/>
      <c r="Y50" s="132"/>
      <c r="Z50" s="15" t="s">
        <v>422</v>
      </c>
      <c r="AA50" s="132"/>
      <c r="AB50" s="132"/>
      <c r="AC50" s="127"/>
      <c r="AD50" s="119"/>
      <c r="AE50" s="119" t="s">
        <v>423</v>
      </c>
      <c r="AF50" s="67">
        <v>120.0</v>
      </c>
      <c r="AG50" s="15" t="s">
        <v>424</v>
      </c>
      <c r="AH50" s="120"/>
      <c r="AI50" s="120"/>
      <c r="AJ50" s="120"/>
      <c r="AL50" s="121"/>
      <c r="AM50" s="129"/>
      <c r="AO50" s="101" t="s">
        <v>205</v>
      </c>
      <c r="AP50" s="77">
        <f>sum(AN18:AN45)</f>
        <v>1402200</v>
      </c>
      <c r="AQ50" s="80">
        <f t="shared" si="27"/>
        <v>56</v>
      </c>
      <c r="AR50" s="16">
        <f t="shared" si="28"/>
        <v>25039.28571</v>
      </c>
      <c r="AS50" s="120"/>
      <c r="AT50" s="130" t="s">
        <v>123</v>
      </c>
      <c r="AU50" s="131">
        <v>0.1</v>
      </c>
      <c r="AV50" s="130">
        <v>1.0</v>
      </c>
    </row>
    <row r="51">
      <c r="A51" s="120"/>
      <c r="B51" s="121"/>
      <c r="C51" s="121"/>
      <c r="D51" s="121"/>
      <c r="E51" s="121"/>
      <c r="F51" s="121"/>
      <c r="G51" s="126"/>
      <c r="H51" s="121"/>
      <c r="I51" s="121"/>
      <c r="J51" s="121"/>
      <c r="K51" s="121"/>
      <c r="L51" s="121"/>
      <c r="M51" s="121"/>
      <c r="N51" s="121"/>
      <c r="O51" s="121"/>
      <c r="P51" s="121"/>
      <c r="Q51" s="121"/>
      <c r="R51" s="121"/>
      <c r="S51" s="121"/>
      <c r="T51" s="121"/>
      <c r="U51" s="121"/>
      <c r="V51" s="121"/>
      <c r="W51" s="121"/>
      <c r="X51" s="127"/>
      <c r="Y51" s="127"/>
      <c r="Z51" s="100"/>
      <c r="AA51" s="127"/>
      <c r="AB51" s="127"/>
      <c r="AC51" s="128"/>
      <c r="AD51" s="119"/>
      <c r="AE51" s="119" t="s">
        <v>425</v>
      </c>
      <c r="AF51" s="67">
        <v>24.0</v>
      </c>
      <c r="AG51" s="15" t="s">
        <v>426</v>
      </c>
      <c r="AH51" s="120"/>
      <c r="AI51" s="120"/>
      <c r="AJ51" s="120"/>
      <c r="AL51" s="121"/>
      <c r="AM51" s="129"/>
      <c r="AN51" s="121"/>
      <c r="AO51" s="101" t="s">
        <v>266</v>
      </c>
      <c r="AP51" s="39">
        <v>30000.0</v>
      </c>
      <c r="AQ51" s="6">
        <v>2.0</v>
      </c>
      <c r="AR51" s="133"/>
      <c r="AS51" s="120"/>
      <c r="AT51" s="130" t="s">
        <v>211</v>
      </c>
      <c r="AU51" s="131">
        <v>0.4</v>
      </c>
      <c r="AV51" s="130">
        <v>7.0</v>
      </c>
    </row>
    <row r="52">
      <c r="A52" s="120"/>
      <c r="B52" s="121"/>
      <c r="C52" s="121"/>
      <c r="D52" s="121"/>
      <c r="E52" s="121"/>
      <c r="F52" s="121"/>
      <c r="G52" s="126"/>
      <c r="H52" s="121"/>
      <c r="I52" s="121"/>
      <c r="J52" s="121"/>
      <c r="K52" s="121"/>
      <c r="L52" s="121"/>
      <c r="M52" s="121"/>
      <c r="N52" s="121"/>
      <c r="O52" s="121"/>
      <c r="P52" s="121"/>
      <c r="Q52" s="121"/>
      <c r="R52" s="121"/>
      <c r="S52" s="121"/>
      <c r="T52" s="121"/>
      <c r="U52" s="121"/>
      <c r="V52" s="121"/>
      <c r="W52" s="121"/>
      <c r="X52" s="127"/>
      <c r="Y52" s="127"/>
      <c r="Z52" s="100"/>
      <c r="AA52" s="127"/>
      <c r="AB52" s="127"/>
      <c r="AC52" s="128"/>
      <c r="AD52" s="134"/>
      <c r="AH52" s="120"/>
      <c r="AI52" s="120"/>
      <c r="AJ52" s="120"/>
      <c r="AL52" s="121"/>
      <c r="AM52" s="129"/>
      <c r="AN52" s="121"/>
      <c r="AO52" s="121"/>
      <c r="AP52" s="101" t="s">
        <v>427</v>
      </c>
      <c r="AQ52" s="80">
        <f>sum(AQ49:AQ50)</f>
        <v>118</v>
      </c>
      <c r="AR52" s="133"/>
      <c r="AS52" s="120"/>
      <c r="AT52" s="130" t="s">
        <v>233</v>
      </c>
      <c r="AU52" s="131">
        <v>0.2</v>
      </c>
      <c r="AV52" s="130">
        <v>3.0</v>
      </c>
    </row>
    <row r="53">
      <c r="A53" s="135"/>
      <c r="B53" s="121"/>
      <c r="C53" s="121"/>
      <c r="D53" s="121"/>
      <c r="E53" s="121"/>
      <c r="F53" s="121"/>
      <c r="G53" s="126"/>
      <c r="H53" s="121"/>
      <c r="I53" s="121"/>
      <c r="J53" s="121"/>
      <c r="K53" s="121"/>
      <c r="L53" s="121"/>
      <c r="M53" s="121"/>
      <c r="N53" s="121"/>
      <c r="O53" s="121"/>
      <c r="P53" s="121"/>
      <c r="Q53" s="121"/>
      <c r="R53" s="121"/>
      <c r="S53" s="121"/>
      <c r="T53" s="121"/>
      <c r="U53" s="121"/>
      <c r="V53" s="121"/>
      <c r="W53" s="121"/>
      <c r="X53" s="136"/>
      <c r="Y53" s="136"/>
      <c r="Z53" s="100"/>
      <c r="AA53" s="127"/>
      <c r="AB53" s="127"/>
      <c r="AC53" s="128"/>
      <c r="AD53" s="134"/>
      <c r="AH53" s="120"/>
      <c r="AI53" s="120"/>
      <c r="AJ53" s="120"/>
      <c r="AL53" s="137"/>
      <c r="AM53" s="138"/>
      <c r="AN53" s="137"/>
      <c r="AO53" s="137"/>
      <c r="AP53" s="137"/>
      <c r="AQ53" s="133"/>
      <c r="AR53" s="133"/>
      <c r="AS53" s="120"/>
      <c r="AT53" s="130" t="s">
        <v>428</v>
      </c>
      <c r="AU53" s="131">
        <v>0.1</v>
      </c>
      <c r="AV53" s="130">
        <v>1.0</v>
      </c>
    </row>
    <row r="54">
      <c r="A54" s="120"/>
      <c r="B54" s="121"/>
      <c r="C54" s="121"/>
      <c r="D54" s="121"/>
      <c r="E54" s="121"/>
      <c r="F54" s="121"/>
      <c r="G54" s="126"/>
      <c r="H54" s="121"/>
      <c r="I54" s="121"/>
      <c r="J54" s="121"/>
      <c r="K54" s="121"/>
      <c r="L54" s="121"/>
      <c r="M54" s="121"/>
      <c r="N54" s="121"/>
      <c r="O54" s="121"/>
      <c r="P54" s="121"/>
      <c r="Q54" s="121"/>
      <c r="R54" s="121"/>
      <c r="S54" s="121"/>
      <c r="T54" s="121"/>
      <c r="U54" s="121"/>
      <c r="V54" s="121"/>
      <c r="W54" s="121"/>
      <c r="X54" s="127"/>
      <c r="Y54" s="127"/>
      <c r="Z54" s="100"/>
      <c r="AA54" s="127"/>
      <c r="AB54" s="127"/>
      <c r="AC54" s="128"/>
      <c r="AD54" s="100"/>
      <c r="AE54" s="127"/>
      <c r="AF54" s="39" t="s">
        <v>409</v>
      </c>
      <c r="AG54" s="4" t="s">
        <v>429</v>
      </c>
      <c r="AH54" s="119"/>
      <c r="AI54" s="119"/>
      <c r="AJ54" s="119"/>
      <c r="AK54" s="119"/>
      <c r="AL54" s="121"/>
      <c r="AM54" s="139" t="s">
        <v>430</v>
      </c>
      <c r="AN54" s="31"/>
      <c r="AO54" s="140"/>
      <c r="AP54" s="141">
        <f>AP49+AP50</f>
        <v>1485200</v>
      </c>
      <c r="AQ54" s="133"/>
      <c r="AR54" s="133"/>
      <c r="AS54" s="120"/>
      <c r="AT54" s="130" t="s">
        <v>431</v>
      </c>
      <c r="AU54" s="131">
        <f t="shared" ref="AU54:AV54" si="29">SUM(AU49:AU53)</f>
        <v>1</v>
      </c>
      <c r="AV54" s="142">
        <f t="shared" si="29"/>
        <v>16</v>
      </c>
    </row>
    <row r="55">
      <c r="A55" s="120"/>
      <c r="B55" s="121"/>
      <c r="C55" s="121"/>
      <c r="D55" s="121"/>
      <c r="E55" s="121"/>
      <c r="F55" s="121"/>
      <c r="G55" s="126"/>
      <c r="H55" s="121"/>
      <c r="I55" s="121"/>
      <c r="J55" s="121"/>
      <c r="K55" s="121"/>
      <c r="L55" s="121"/>
      <c r="M55" s="121"/>
      <c r="N55" s="121"/>
      <c r="O55" s="121"/>
      <c r="P55" s="121"/>
      <c r="Q55" s="121"/>
      <c r="R55" s="121"/>
      <c r="S55" s="121"/>
      <c r="T55" s="121"/>
      <c r="U55" s="121"/>
      <c r="V55" s="121"/>
      <c r="W55" s="121"/>
      <c r="X55" s="127"/>
      <c r="Y55" s="127"/>
      <c r="Z55" s="100"/>
      <c r="AA55" s="127"/>
      <c r="AB55" s="127"/>
      <c r="AC55" s="127"/>
      <c r="AD55" s="119"/>
      <c r="AE55" s="128"/>
      <c r="AF55" s="122"/>
      <c r="AG55" s="143"/>
      <c r="AH55" s="15"/>
      <c r="AI55" s="15"/>
      <c r="AJ55" s="15"/>
      <c r="AK55" s="16"/>
      <c r="AL55" s="121"/>
      <c r="AM55" s="144" t="s">
        <v>432</v>
      </c>
      <c r="AN55" s="31"/>
      <c r="AO55" s="140"/>
      <c r="AP55" s="101">
        <v>23.0</v>
      </c>
      <c r="AQ55" s="133"/>
      <c r="AR55" s="133"/>
      <c r="AS55" s="120"/>
      <c r="AT55" s="120"/>
    </row>
    <row r="56">
      <c r="A56" s="120"/>
      <c r="B56" s="121"/>
      <c r="C56" s="121"/>
      <c r="D56" s="121"/>
      <c r="E56" s="121"/>
      <c r="F56" s="121"/>
      <c r="G56" s="126"/>
      <c r="H56" s="121"/>
      <c r="I56" s="121"/>
      <c r="J56" s="121"/>
      <c r="K56" s="121"/>
      <c r="L56" s="121"/>
      <c r="M56" s="121"/>
      <c r="N56" s="121"/>
      <c r="O56" s="121"/>
      <c r="P56" s="121"/>
      <c r="Q56" s="121"/>
      <c r="R56" s="121"/>
      <c r="S56" s="121"/>
      <c r="T56" s="121"/>
      <c r="U56" s="121"/>
      <c r="V56" s="121"/>
      <c r="W56" s="121"/>
      <c r="X56" s="127"/>
      <c r="Y56" s="127"/>
      <c r="Z56" s="100"/>
      <c r="AA56" s="127"/>
      <c r="AB56" s="127"/>
      <c r="AC56" s="127"/>
      <c r="AD56" s="119"/>
      <c r="AE56" s="128"/>
      <c r="AF56" s="122"/>
      <c r="AG56" s="143"/>
      <c r="AH56" s="15"/>
      <c r="AI56" s="15"/>
      <c r="AJ56" s="15"/>
      <c r="AK56" s="16"/>
      <c r="AL56" s="121"/>
      <c r="AM56" s="144" t="s">
        <v>433</v>
      </c>
      <c r="AN56" s="31"/>
      <c r="AO56" s="140"/>
      <c r="AP56" s="24">
        <f>AP54/25</f>
        <v>59408</v>
      </c>
      <c r="AQ56" s="133"/>
      <c r="AR56" s="133"/>
      <c r="AS56" s="120"/>
      <c r="AT56" s="120"/>
      <c r="AU56" s="145"/>
      <c r="AV56" s="145"/>
    </row>
    <row r="57">
      <c r="A57" s="120"/>
      <c r="B57" s="121"/>
      <c r="C57" s="121"/>
      <c r="D57" s="121"/>
      <c r="E57" s="121"/>
      <c r="F57" s="121"/>
      <c r="G57" s="126"/>
      <c r="H57" s="121"/>
      <c r="I57" s="121"/>
      <c r="J57" s="121"/>
      <c r="K57" s="121"/>
      <c r="L57" s="121"/>
      <c r="M57" s="121"/>
      <c r="N57" s="121"/>
      <c r="O57" s="121"/>
      <c r="P57" s="121"/>
      <c r="Q57" s="121"/>
      <c r="R57" s="121"/>
      <c r="S57" s="121"/>
      <c r="T57" s="121"/>
      <c r="U57" s="121"/>
      <c r="V57" s="121"/>
      <c r="W57" s="121"/>
      <c r="X57" s="127"/>
      <c r="Y57" s="127"/>
      <c r="Z57" s="100"/>
      <c r="AA57" s="127"/>
      <c r="AB57" s="127"/>
      <c r="AC57" s="127"/>
      <c r="AD57" s="119"/>
      <c r="AE57" s="119" t="s">
        <v>434</v>
      </c>
      <c r="AF57" s="122">
        <f>sum(AF9:AF25)</f>
        <v>93</v>
      </c>
      <c r="AG57" s="143">
        <f t="shared" ref="AG57:AG58" si="30">AF57/12</f>
        <v>7.75</v>
      </c>
      <c r="AH57" s="15"/>
      <c r="AI57" s="15"/>
      <c r="AJ57" s="15"/>
      <c r="AK57" s="16" t="s">
        <v>367</v>
      </c>
      <c r="AL57" s="121"/>
      <c r="AM57" s="144" t="s">
        <v>435</v>
      </c>
      <c r="AN57" s="31"/>
      <c r="AO57" s="140"/>
      <c r="AP57" s="24">
        <f>AP54/AP55</f>
        <v>64573.91304</v>
      </c>
      <c r="AQ57" s="133"/>
      <c r="AR57" s="133"/>
      <c r="AS57" s="120"/>
      <c r="AT57" s="120"/>
      <c r="AU57" s="145"/>
      <c r="AV57" s="145"/>
    </row>
    <row r="58">
      <c r="A58" s="120"/>
      <c r="B58" s="121"/>
      <c r="C58" s="121"/>
      <c r="D58" s="121"/>
      <c r="E58" s="121"/>
      <c r="F58" s="121"/>
      <c r="G58" s="126"/>
      <c r="H58" s="121"/>
      <c r="I58" s="121"/>
      <c r="J58" s="121"/>
      <c r="K58" s="121"/>
      <c r="L58" s="121"/>
      <c r="M58" s="121"/>
      <c r="N58" s="121"/>
      <c r="O58" s="121"/>
      <c r="P58" s="121"/>
      <c r="Q58" s="121"/>
      <c r="R58" s="121"/>
      <c r="S58" s="121"/>
      <c r="T58" s="121"/>
      <c r="U58" s="121"/>
      <c r="V58" s="121"/>
      <c r="W58" s="121"/>
      <c r="X58" s="127"/>
      <c r="Y58" s="127"/>
      <c r="Z58" s="100"/>
      <c r="AA58" s="127"/>
      <c r="AB58" s="127"/>
      <c r="AC58" s="127"/>
      <c r="AD58" s="119"/>
      <c r="AE58" s="119" t="s">
        <v>436</v>
      </c>
      <c r="AF58" s="67">
        <f>AF6</f>
        <v>108</v>
      </c>
      <c r="AG58" s="143">
        <f t="shared" si="30"/>
        <v>9</v>
      </c>
      <c r="AH58" s="15"/>
      <c r="AI58" s="15"/>
      <c r="AJ58" s="15"/>
      <c r="AK58" s="16" t="s">
        <v>437</v>
      </c>
      <c r="AL58" s="121"/>
      <c r="AM58" s="146"/>
      <c r="AN58" s="147" t="s">
        <v>438</v>
      </c>
      <c r="AO58" s="148"/>
      <c r="AP58" s="149">
        <f>AP57/AF49/22</f>
        <v>768.73706</v>
      </c>
      <c r="AQ58" s="133"/>
      <c r="AR58" s="133"/>
      <c r="AS58" s="120"/>
      <c r="AT58" s="120"/>
      <c r="AU58" s="145"/>
      <c r="AV58" s="145"/>
    </row>
    <row r="59">
      <c r="A59" s="120"/>
      <c r="B59" s="121"/>
      <c r="C59" s="121"/>
      <c r="D59" s="121"/>
      <c r="E59" s="121"/>
      <c r="F59" s="121"/>
      <c r="G59" s="126"/>
      <c r="H59" s="121"/>
      <c r="I59" s="121"/>
      <c r="J59" s="121"/>
      <c r="K59" s="121"/>
      <c r="L59" s="121"/>
      <c r="M59" s="121"/>
      <c r="N59" s="121"/>
      <c r="O59" s="121"/>
      <c r="P59" s="121"/>
      <c r="Q59" s="121"/>
      <c r="R59" s="121"/>
      <c r="S59" s="121"/>
      <c r="T59" s="121"/>
      <c r="U59" s="121"/>
      <c r="V59" s="121"/>
      <c r="W59" s="121"/>
      <c r="X59" s="127"/>
      <c r="Y59" s="127"/>
      <c r="Z59" s="100"/>
      <c r="AA59" s="127"/>
      <c r="AB59" s="127"/>
      <c r="AC59" s="127"/>
      <c r="AD59" s="100"/>
      <c r="AE59" s="127"/>
      <c r="AF59" s="146"/>
      <c r="AG59" s="127"/>
      <c r="AH59" s="127"/>
      <c r="AI59" s="127"/>
      <c r="AJ59" s="127"/>
      <c r="AK59" s="146"/>
      <c r="AL59" s="121"/>
      <c r="AM59" s="146"/>
      <c r="AN59" s="121"/>
      <c r="AO59" s="101" t="s">
        <v>439</v>
      </c>
      <c r="AP59" s="16">
        <v>-500000.0</v>
      </c>
      <c r="AQ59" s="133"/>
      <c r="AR59" s="133"/>
      <c r="AS59" s="120"/>
      <c r="AT59" s="120"/>
      <c r="AU59" s="145"/>
      <c r="AV59" s="145"/>
    </row>
    <row r="60">
      <c r="A60" s="120"/>
      <c r="B60" s="121"/>
      <c r="C60" s="121"/>
      <c r="D60" s="121"/>
      <c r="E60" s="121"/>
      <c r="F60" s="121"/>
      <c r="G60" s="126"/>
      <c r="H60" s="121"/>
      <c r="I60" s="121"/>
      <c r="J60" s="121"/>
      <c r="K60" s="121"/>
      <c r="L60" s="121"/>
      <c r="M60" s="121"/>
      <c r="N60" s="121"/>
      <c r="O60" s="121"/>
      <c r="P60" s="121"/>
      <c r="Q60" s="121"/>
      <c r="R60" s="121"/>
      <c r="S60" s="121"/>
      <c r="T60" s="121"/>
      <c r="U60" s="121"/>
      <c r="V60" s="121"/>
      <c r="W60" s="121"/>
      <c r="X60" s="127"/>
      <c r="Y60" s="127"/>
      <c r="Z60" s="100"/>
      <c r="AA60" s="127"/>
      <c r="AB60" s="127"/>
      <c r="AC60" s="127"/>
      <c r="AD60" s="100"/>
      <c r="AE60" s="127"/>
      <c r="AF60" s="146"/>
      <c r="AG60" s="127"/>
      <c r="AH60" s="127"/>
      <c r="AI60" s="127"/>
      <c r="AJ60" s="127"/>
      <c r="AK60" s="146"/>
      <c r="AL60" s="121"/>
      <c r="AM60" s="146"/>
      <c r="AO60" s="101" t="s">
        <v>440</v>
      </c>
      <c r="AP60" s="150">
        <v>-2000000.0</v>
      </c>
      <c r="AQ60" s="133"/>
      <c r="AR60" s="133"/>
      <c r="AS60" s="120"/>
      <c r="AT60" s="120"/>
      <c r="AU60" s="145"/>
      <c r="AV60" s="145"/>
    </row>
    <row r="61">
      <c r="A61" s="120"/>
      <c r="B61" s="137"/>
      <c r="C61" s="137"/>
      <c r="D61" s="137"/>
      <c r="E61" s="137"/>
      <c r="F61" s="137"/>
      <c r="G61" s="151"/>
      <c r="H61" s="137"/>
      <c r="I61" s="137"/>
      <c r="J61" s="137"/>
      <c r="K61" s="137"/>
      <c r="L61" s="137"/>
      <c r="M61" s="137"/>
      <c r="N61" s="137"/>
      <c r="O61" s="137"/>
      <c r="P61" s="137"/>
      <c r="Q61" s="137"/>
      <c r="R61" s="137"/>
      <c r="S61" s="137"/>
      <c r="T61" s="137"/>
      <c r="U61" s="137"/>
      <c r="V61" s="137"/>
      <c r="W61" s="137"/>
      <c r="X61" s="132"/>
      <c r="Y61" s="132"/>
      <c r="Z61" s="15"/>
      <c r="AA61" s="132"/>
      <c r="AB61" s="132"/>
      <c r="AC61" s="132"/>
      <c r="AD61" s="15"/>
      <c r="AE61" s="132"/>
      <c r="AF61" s="152"/>
      <c r="AG61" s="132"/>
      <c r="AH61" s="132"/>
      <c r="AI61" s="132"/>
      <c r="AJ61" s="132"/>
      <c r="AK61" s="152" t="s">
        <v>441</v>
      </c>
      <c r="AL61" s="137"/>
      <c r="AM61" s="152"/>
      <c r="AO61" s="101" t="s">
        <v>442</v>
      </c>
      <c r="AP61" s="39">
        <v>-12000.0</v>
      </c>
      <c r="AQ61" s="133"/>
      <c r="AR61" s="133"/>
      <c r="AS61" s="120"/>
      <c r="AT61" s="120"/>
      <c r="AU61" s="145"/>
      <c r="AV61" s="145"/>
    </row>
    <row r="62">
      <c r="A62" s="120"/>
      <c r="B62" s="121"/>
      <c r="C62" s="121"/>
      <c r="D62" s="121"/>
      <c r="E62" s="121"/>
      <c r="F62" s="121"/>
      <c r="G62" s="126"/>
      <c r="H62" s="121"/>
      <c r="I62" s="121"/>
      <c r="J62" s="121"/>
      <c r="K62" s="121"/>
      <c r="L62" s="121"/>
      <c r="M62" s="121"/>
      <c r="N62" s="121"/>
      <c r="O62" s="121"/>
      <c r="P62" s="121"/>
      <c r="Q62" s="121"/>
      <c r="R62" s="121"/>
      <c r="S62" s="121"/>
      <c r="T62" s="121"/>
      <c r="U62" s="121"/>
      <c r="V62" s="121"/>
      <c r="W62" s="121"/>
      <c r="X62" s="127"/>
      <c r="Y62" s="127"/>
      <c r="Z62" s="100"/>
      <c r="AA62" s="127"/>
      <c r="AB62" s="127"/>
      <c r="AC62" s="127"/>
      <c r="AD62" s="100"/>
      <c r="AE62" s="127"/>
      <c r="AF62" s="146"/>
      <c r="AG62" s="127"/>
      <c r="AH62" s="127"/>
      <c r="AI62" s="127"/>
      <c r="AJ62" s="127"/>
      <c r="AK62" s="146"/>
      <c r="AL62" s="121"/>
      <c r="AM62" s="146"/>
      <c r="AN62" s="121"/>
      <c r="AO62" s="153" t="s">
        <v>431</v>
      </c>
      <c r="AP62" s="24">
        <f>sum(AP54,AP60,AP61,AP59)</f>
        <v>-1026800</v>
      </c>
      <c r="AQ62" s="133"/>
      <c r="AR62" s="133"/>
      <c r="AS62" s="120"/>
      <c r="AT62" s="120"/>
      <c r="AU62" s="145"/>
      <c r="AV62" s="145"/>
    </row>
    <row r="63">
      <c r="A63" s="120"/>
      <c r="B63" s="121"/>
      <c r="C63" s="121"/>
      <c r="D63" s="121"/>
      <c r="E63" s="121"/>
      <c r="F63" s="121"/>
      <c r="G63" s="126"/>
      <c r="H63" s="121"/>
      <c r="I63" s="121"/>
      <c r="J63" s="121"/>
      <c r="K63" s="121"/>
      <c r="L63" s="121"/>
      <c r="M63" s="121"/>
      <c r="N63" s="121"/>
      <c r="O63" s="121"/>
      <c r="P63" s="121"/>
      <c r="Q63" s="121"/>
      <c r="R63" s="121"/>
      <c r="S63" s="121"/>
      <c r="T63" s="121"/>
      <c r="U63" s="121"/>
      <c r="V63" s="121"/>
      <c r="W63" s="121"/>
      <c r="X63" s="127"/>
      <c r="Y63" s="127"/>
      <c r="Z63" s="100"/>
      <c r="AA63" s="127"/>
      <c r="AB63" s="127"/>
      <c r="AC63" s="127"/>
      <c r="AD63" s="100"/>
      <c r="AE63" s="127"/>
      <c r="AF63" s="146"/>
      <c r="AG63" s="127"/>
      <c r="AH63" s="127"/>
      <c r="AI63" s="127"/>
      <c r="AJ63" s="127"/>
      <c r="AK63" s="146"/>
      <c r="AL63" s="121"/>
      <c r="AM63" s="146"/>
      <c r="AN63" s="121"/>
      <c r="AO63" s="101" t="s">
        <v>443</v>
      </c>
      <c r="AP63" s="16">
        <f>sum(AN9:AN16)</f>
        <v>83000</v>
      </c>
      <c r="AQ63" s="133"/>
      <c r="AR63" s="133"/>
      <c r="AS63" s="120"/>
      <c r="AT63" s="120"/>
      <c r="AU63" s="145"/>
      <c r="AV63" s="145"/>
    </row>
    <row r="64">
      <c r="A64" s="120"/>
      <c r="B64" s="137"/>
      <c r="C64" s="137"/>
      <c r="D64" s="137"/>
      <c r="E64" s="137"/>
      <c r="F64" s="137"/>
      <c r="G64" s="151"/>
      <c r="H64" s="137"/>
      <c r="I64" s="137"/>
      <c r="J64" s="137"/>
      <c r="K64" s="137"/>
      <c r="L64" s="137"/>
      <c r="M64" s="137"/>
      <c r="N64" s="137"/>
      <c r="O64" s="137"/>
      <c r="P64" s="137"/>
      <c r="Q64" s="137"/>
      <c r="R64" s="137"/>
      <c r="S64" s="137"/>
      <c r="T64" s="137"/>
      <c r="U64" s="137"/>
      <c r="V64" s="137"/>
      <c r="W64" s="137"/>
      <c r="X64" s="127"/>
      <c r="Y64" s="127"/>
      <c r="Z64" s="100"/>
      <c r="AA64" s="127"/>
      <c r="AB64" s="127"/>
      <c r="AC64" s="127"/>
      <c r="AD64" s="100"/>
      <c r="AE64" s="127"/>
      <c r="AF64" s="146"/>
      <c r="AG64" s="127"/>
      <c r="AH64" s="127"/>
      <c r="AI64" s="127"/>
      <c r="AJ64" s="127"/>
      <c r="AK64" s="146"/>
      <c r="AL64" s="121"/>
      <c r="AM64" s="146"/>
      <c r="AN64" s="121"/>
      <c r="AO64" s="101" t="s">
        <v>444</v>
      </c>
      <c r="AP64" s="16">
        <f>sum(AN18:AN37)</f>
        <v>900200</v>
      </c>
      <c r="AQ64" s="133"/>
      <c r="AR64" s="133"/>
      <c r="AS64" s="120"/>
      <c r="AT64" s="120"/>
      <c r="AU64" s="145"/>
      <c r="AV64" s="145"/>
    </row>
  </sheetData>
  <mergeCells count="12">
    <mergeCell ref="AM48:AM53"/>
    <mergeCell ref="AM54:AN54"/>
    <mergeCell ref="AM55:AN55"/>
    <mergeCell ref="AM56:AN56"/>
    <mergeCell ref="AM57:AN57"/>
    <mergeCell ref="A8:K8"/>
    <mergeCell ref="Y8:AL8"/>
    <mergeCell ref="A17:K17"/>
    <mergeCell ref="C27:K27"/>
    <mergeCell ref="Z27:AF27"/>
    <mergeCell ref="AG27:AV27"/>
    <mergeCell ref="A41:K41"/>
  </mergeCells>
  <hyperlinks>
    <hyperlink r:id="rId4" ref="AH7"/>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D1" s="156" t="s">
        <v>429</v>
      </c>
    </row>
    <row r="2">
      <c r="D2" s="157">
        <f t="shared" ref="D2:D29" si="1">C2*12*1.2</f>
        <v>0</v>
      </c>
    </row>
    <row r="3">
      <c r="D3" s="157">
        <f t="shared" si="1"/>
        <v>0</v>
      </c>
    </row>
    <row r="4">
      <c r="D4" s="157">
        <f t="shared" si="1"/>
        <v>0</v>
      </c>
    </row>
    <row r="5">
      <c r="D5" s="157">
        <f t="shared" si="1"/>
        <v>0</v>
      </c>
    </row>
    <row r="6">
      <c r="D6" s="157">
        <f t="shared" si="1"/>
        <v>0</v>
      </c>
    </row>
    <row r="7">
      <c r="D7" s="157">
        <f t="shared" si="1"/>
        <v>0</v>
      </c>
    </row>
    <row r="8">
      <c r="D8" s="157">
        <f t="shared" si="1"/>
        <v>0</v>
      </c>
    </row>
    <row r="9">
      <c r="D9" s="157">
        <f t="shared" si="1"/>
        <v>11520</v>
      </c>
    </row>
    <row r="10">
      <c r="D10" s="157">
        <f t="shared" si="1"/>
        <v>5760</v>
      </c>
    </row>
    <row r="11">
      <c r="D11" s="157">
        <f t="shared" si="1"/>
        <v>17280</v>
      </c>
    </row>
    <row r="12">
      <c r="D12" s="157">
        <f t="shared" si="1"/>
        <v>7200</v>
      </c>
    </row>
    <row r="13">
      <c r="D13" s="157">
        <f t="shared" si="1"/>
        <v>7200</v>
      </c>
    </row>
    <row r="14">
      <c r="D14" s="157">
        <f t="shared" si="1"/>
        <v>8640</v>
      </c>
    </row>
    <row r="15">
      <c r="D15" s="157">
        <f t="shared" si="1"/>
        <v>8640</v>
      </c>
    </row>
    <row r="16">
      <c r="D16" s="157">
        <f t="shared" si="1"/>
        <v>11520</v>
      </c>
    </row>
    <row r="17">
      <c r="D17" s="157">
        <f t="shared" si="1"/>
        <v>11520</v>
      </c>
    </row>
    <row r="18">
      <c r="D18" s="157">
        <f t="shared" si="1"/>
        <v>14400</v>
      </c>
    </row>
    <row r="19">
      <c r="D19" s="157">
        <f t="shared" si="1"/>
        <v>14400</v>
      </c>
    </row>
    <row r="20">
      <c r="D20" s="157">
        <f t="shared" si="1"/>
        <v>21600</v>
      </c>
    </row>
    <row r="21">
      <c r="D21" s="157">
        <f t="shared" si="1"/>
        <v>21600</v>
      </c>
    </row>
    <row r="22">
      <c r="D22" s="157">
        <f t="shared" si="1"/>
        <v>28800</v>
      </c>
    </row>
    <row r="23">
      <c r="D23" s="157">
        <f t="shared" si="1"/>
        <v>28800</v>
      </c>
    </row>
    <row r="24">
      <c r="D24" s="157">
        <f t="shared" si="1"/>
        <v>43200</v>
      </c>
    </row>
    <row r="25">
      <c r="D25" s="157">
        <f t="shared" si="1"/>
        <v>43200</v>
      </c>
    </row>
    <row r="26">
      <c r="D26" s="157">
        <f t="shared" si="1"/>
        <v>72000</v>
      </c>
    </row>
    <row r="27">
      <c r="D27" s="157">
        <f t="shared" si="1"/>
        <v>72000</v>
      </c>
    </row>
    <row r="28">
      <c r="D28" s="157">
        <f t="shared" si="1"/>
        <v>86400</v>
      </c>
    </row>
    <row r="29">
      <c r="D29" s="157">
        <f t="shared" si="1"/>
        <v>86400</v>
      </c>
    </row>
    <row r="30"/>
    <row r="31"/>
    <row r="32"/>
    <row r="33"/>
    <row r="34"/>
    <row r="35"/>
    <row r="36"/>
    <row r="37"/>
    <row r="38"/>
    <row r="39"/>
    <row r="40"/>
    <row r="4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8">
        <v>500.0</v>
      </c>
      <c r="B1" s="159">
        <v>2012.0</v>
      </c>
      <c r="C1" s="159" t="s">
        <v>463</v>
      </c>
      <c r="D1" s="160">
        <v>1.2</v>
      </c>
    </row>
    <row r="2">
      <c r="A2" s="161">
        <f>A1*$D$1</f>
        <v>600</v>
      </c>
      <c r="B2" s="159">
        <v>2013.0</v>
      </c>
      <c r="C2" s="162"/>
      <c r="D2" s="162"/>
    </row>
    <row r="3">
      <c r="A3" s="161">
        <f t="shared" ref="A3:A23" si="1">A2*2</f>
        <v>1200</v>
      </c>
      <c r="B3" s="159">
        <v>2014.0</v>
      </c>
      <c r="C3" s="162"/>
      <c r="D3" s="162"/>
    </row>
    <row r="4">
      <c r="A4" s="161">
        <f t="shared" si="1"/>
        <v>2400</v>
      </c>
      <c r="B4" s="159">
        <v>2015.0</v>
      </c>
      <c r="C4" s="162"/>
      <c r="D4" s="162"/>
    </row>
    <row r="5">
      <c r="A5" s="161">
        <f t="shared" si="1"/>
        <v>4800</v>
      </c>
      <c r="B5" s="159">
        <v>2016.0</v>
      </c>
      <c r="C5" s="162"/>
      <c r="D5" s="162"/>
    </row>
    <row r="6">
      <c r="A6" s="161">
        <f t="shared" si="1"/>
        <v>9600</v>
      </c>
      <c r="B6" s="159">
        <v>2017.0</v>
      </c>
      <c r="C6" s="162"/>
      <c r="D6" s="162"/>
    </row>
    <row r="7">
      <c r="A7" s="161">
        <f t="shared" si="1"/>
        <v>19200</v>
      </c>
      <c r="B7" s="159">
        <v>2018.0</v>
      </c>
      <c r="C7" s="162"/>
      <c r="D7" s="162"/>
    </row>
    <row r="8">
      <c r="A8" s="161">
        <f t="shared" si="1"/>
        <v>38400</v>
      </c>
      <c r="B8" s="159">
        <v>2019.0</v>
      </c>
      <c r="C8" s="162"/>
      <c r="D8" s="162"/>
    </row>
    <row r="9">
      <c r="A9" s="161">
        <f t="shared" si="1"/>
        <v>76800</v>
      </c>
      <c r="B9" s="159">
        <v>2020.0</v>
      </c>
      <c r="C9" s="162"/>
      <c r="D9" s="162"/>
    </row>
    <row r="10">
      <c r="A10" s="161">
        <f t="shared" si="1"/>
        <v>153600</v>
      </c>
      <c r="B10" s="159">
        <v>2021.0</v>
      </c>
      <c r="C10" s="162"/>
      <c r="D10" s="162"/>
    </row>
    <row r="11">
      <c r="A11" s="163">
        <f t="shared" si="1"/>
        <v>307200</v>
      </c>
      <c r="B11" s="164">
        <v>2022.0</v>
      </c>
      <c r="C11" s="165"/>
      <c r="D11" s="165"/>
      <c r="E11" s="166"/>
      <c r="F11" s="166"/>
      <c r="G11" s="166"/>
      <c r="H11" s="166"/>
      <c r="I11" s="166"/>
      <c r="J11" s="166"/>
      <c r="K11" s="166"/>
      <c r="L11" s="166"/>
      <c r="M11" s="166"/>
      <c r="N11" s="166"/>
      <c r="O11" s="166"/>
      <c r="P11" s="166"/>
      <c r="Q11" s="166"/>
      <c r="R11" s="166"/>
      <c r="S11" s="166"/>
      <c r="T11" s="166"/>
      <c r="U11" s="166"/>
      <c r="V11" s="166"/>
      <c r="W11" s="166"/>
      <c r="X11" s="166"/>
      <c r="Y11" s="166"/>
      <c r="Z11" s="166"/>
    </row>
    <row r="12">
      <c r="A12" s="161">
        <f t="shared" si="1"/>
        <v>614400</v>
      </c>
      <c r="B12" s="159">
        <v>2023.0</v>
      </c>
      <c r="C12" s="162"/>
      <c r="D12" s="162"/>
    </row>
    <row r="13">
      <c r="A13" s="161">
        <f t="shared" si="1"/>
        <v>1228800</v>
      </c>
      <c r="B13" s="159">
        <v>2024.0</v>
      </c>
      <c r="C13" s="162"/>
      <c r="D13" s="162"/>
    </row>
    <row r="14">
      <c r="A14" s="161">
        <f t="shared" si="1"/>
        <v>2457600</v>
      </c>
      <c r="B14" s="159">
        <v>2025.0</v>
      </c>
      <c r="C14" s="162"/>
      <c r="D14" s="162"/>
    </row>
    <row r="15">
      <c r="A15" s="161">
        <f t="shared" si="1"/>
        <v>4915200</v>
      </c>
      <c r="B15" s="159">
        <v>2026.0</v>
      </c>
      <c r="C15" s="162"/>
      <c r="D15" s="162"/>
    </row>
    <row r="16">
      <c r="A16" s="161">
        <f t="shared" si="1"/>
        <v>9830400</v>
      </c>
      <c r="B16" s="159">
        <v>2027.0</v>
      </c>
      <c r="C16" s="162"/>
      <c r="D16" s="162"/>
    </row>
    <row r="17">
      <c r="A17" s="161">
        <f t="shared" si="1"/>
        <v>19660800</v>
      </c>
      <c r="B17" s="159">
        <v>2028.0</v>
      </c>
      <c r="C17" s="162"/>
      <c r="D17" s="162"/>
    </row>
    <row r="18">
      <c r="A18" s="161">
        <f t="shared" si="1"/>
        <v>39321600</v>
      </c>
      <c r="B18" s="159">
        <v>2029.0</v>
      </c>
      <c r="C18" s="162"/>
      <c r="D18" s="162"/>
    </row>
    <row r="19">
      <c r="A19" s="161">
        <f t="shared" si="1"/>
        <v>78643200</v>
      </c>
      <c r="B19" s="159">
        <v>2030.0</v>
      </c>
      <c r="C19" s="162"/>
      <c r="D19" s="162"/>
    </row>
    <row r="20">
      <c r="A20" s="167">
        <f t="shared" si="1"/>
        <v>157286400</v>
      </c>
      <c r="B20" s="168">
        <v>2031.0</v>
      </c>
      <c r="C20" s="169"/>
      <c r="D20" s="169"/>
      <c r="E20" s="170"/>
      <c r="F20" s="170"/>
      <c r="G20" s="170"/>
      <c r="H20" s="170"/>
      <c r="I20" s="170"/>
      <c r="J20" s="170"/>
      <c r="K20" s="170"/>
      <c r="L20" s="170"/>
      <c r="M20" s="170"/>
      <c r="N20" s="170"/>
      <c r="O20" s="170"/>
      <c r="P20" s="170"/>
      <c r="Q20" s="170"/>
      <c r="R20" s="170"/>
      <c r="S20" s="170"/>
      <c r="T20" s="170"/>
      <c r="U20" s="170"/>
      <c r="V20" s="170"/>
      <c r="W20" s="170"/>
      <c r="X20" s="170"/>
      <c r="Y20" s="170"/>
      <c r="Z20" s="170"/>
    </row>
    <row r="21">
      <c r="A21" s="161">
        <f t="shared" si="1"/>
        <v>314572800</v>
      </c>
      <c r="B21" s="159">
        <v>2032.0</v>
      </c>
      <c r="C21" s="162"/>
      <c r="D21" s="162"/>
    </row>
    <row r="22">
      <c r="A22" s="161">
        <f t="shared" si="1"/>
        <v>629145600</v>
      </c>
      <c r="B22" s="159">
        <v>2033.0</v>
      </c>
      <c r="C22" s="162"/>
      <c r="D22" s="162"/>
    </row>
    <row r="23">
      <c r="A23" s="161">
        <f t="shared" si="1"/>
        <v>1258291200</v>
      </c>
      <c r="B23" s="159">
        <v>2034.0</v>
      </c>
      <c r="C23" s="162"/>
      <c r="D23" s="162"/>
    </row>
    <row r="24">
      <c r="A24" s="154"/>
    </row>
    <row r="25">
      <c r="A25" s="154"/>
    </row>
    <row r="26">
      <c r="A26" s="154"/>
    </row>
    <row r="27">
      <c r="A27" s="154"/>
    </row>
    <row r="28">
      <c r="A28" s="154"/>
    </row>
    <row r="29">
      <c r="A29" s="154"/>
    </row>
    <row r="30">
      <c r="A30" s="154"/>
    </row>
    <row r="31">
      <c r="A31" s="154"/>
    </row>
    <row r="32">
      <c r="A32" s="154"/>
    </row>
    <row r="33">
      <c r="A33" s="154"/>
    </row>
    <row r="34">
      <c r="A34" s="154"/>
    </row>
    <row r="35">
      <c r="A35" s="154"/>
    </row>
    <row r="36">
      <c r="A36" s="154"/>
    </row>
    <row r="37">
      <c r="A37" s="154"/>
    </row>
    <row r="38">
      <c r="A38" s="154"/>
    </row>
    <row r="39">
      <c r="A39" s="154"/>
    </row>
    <row r="40">
      <c r="A40" s="154"/>
    </row>
    <row r="41">
      <c r="A41" s="154"/>
    </row>
    <row r="42">
      <c r="A42" s="154"/>
    </row>
    <row r="43">
      <c r="A43" s="154"/>
    </row>
    <row r="44">
      <c r="A44" s="154"/>
    </row>
    <row r="45">
      <c r="A45" s="154"/>
    </row>
    <row r="46">
      <c r="A46" s="154"/>
    </row>
    <row r="47">
      <c r="A47" s="154"/>
    </row>
    <row r="48">
      <c r="A48" s="154"/>
    </row>
    <row r="49">
      <c r="A49" s="154"/>
    </row>
    <row r="50">
      <c r="A50" s="154"/>
    </row>
    <row r="51">
      <c r="A51" s="154"/>
    </row>
    <row r="52">
      <c r="A52" s="154"/>
    </row>
    <row r="53">
      <c r="A53" s="154"/>
    </row>
    <row r="54">
      <c r="A54" s="154"/>
    </row>
    <row r="55">
      <c r="A55" s="154"/>
    </row>
    <row r="56">
      <c r="A56" s="154"/>
    </row>
    <row r="57">
      <c r="A57" s="154"/>
    </row>
    <row r="58">
      <c r="A58" s="154"/>
    </row>
    <row r="59">
      <c r="A59" s="154"/>
    </row>
    <row r="60">
      <c r="A60" s="154"/>
    </row>
    <row r="61">
      <c r="A61" s="154"/>
    </row>
    <row r="62">
      <c r="A62" s="154"/>
    </row>
    <row r="63">
      <c r="A63" s="154"/>
    </row>
    <row r="64">
      <c r="A64" s="154"/>
    </row>
    <row r="65">
      <c r="A65" s="154"/>
    </row>
    <row r="66">
      <c r="A66" s="154"/>
    </row>
    <row r="67">
      <c r="A67" s="154"/>
    </row>
    <row r="68">
      <c r="A68" s="154"/>
    </row>
    <row r="69">
      <c r="A69" s="154"/>
    </row>
    <row r="70">
      <c r="A70" s="154"/>
    </row>
    <row r="71">
      <c r="A71" s="154"/>
    </row>
    <row r="72">
      <c r="A72" s="154"/>
    </row>
    <row r="73">
      <c r="A73" s="154"/>
    </row>
    <row r="74">
      <c r="A74" s="154"/>
    </row>
    <row r="75">
      <c r="A75" s="154"/>
    </row>
    <row r="76">
      <c r="A76" s="154"/>
    </row>
    <row r="77">
      <c r="A77" s="154"/>
    </row>
    <row r="78">
      <c r="A78" s="154"/>
    </row>
    <row r="79">
      <c r="A79" s="154"/>
    </row>
    <row r="80">
      <c r="A80" s="154"/>
    </row>
    <row r="81">
      <c r="A81" s="154"/>
    </row>
    <row r="82">
      <c r="A82" s="154"/>
    </row>
    <row r="83">
      <c r="A83" s="154"/>
    </row>
    <row r="84">
      <c r="A84" s="154"/>
    </row>
    <row r="85">
      <c r="A85" s="154"/>
    </row>
    <row r="86">
      <c r="A86" s="154"/>
    </row>
    <row r="87">
      <c r="A87" s="154"/>
    </row>
    <row r="88">
      <c r="A88" s="154"/>
    </row>
    <row r="89">
      <c r="A89" s="154"/>
    </row>
    <row r="90">
      <c r="A90" s="154"/>
    </row>
    <row r="91">
      <c r="A91" s="154"/>
    </row>
    <row r="92">
      <c r="A92" s="154"/>
    </row>
    <row r="93">
      <c r="A93" s="154"/>
    </row>
    <row r="94">
      <c r="A94" s="154"/>
    </row>
    <row r="95">
      <c r="A95" s="154"/>
    </row>
    <row r="96">
      <c r="A96" s="154"/>
    </row>
    <row r="97">
      <c r="A97" s="154"/>
    </row>
    <row r="98">
      <c r="A98" s="154"/>
    </row>
    <row r="99">
      <c r="A99" s="154"/>
    </row>
    <row r="100">
      <c r="A100" s="154"/>
    </row>
    <row r="101">
      <c r="A101" s="154"/>
    </row>
    <row r="102">
      <c r="A102" s="154"/>
    </row>
    <row r="103">
      <c r="A103" s="154"/>
    </row>
    <row r="104">
      <c r="A104" s="154"/>
    </row>
    <row r="105">
      <c r="A105" s="154"/>
    </row>
    <row r="106">
      <c r="A106" s="154"/>
    </row>
    <row r="107">
      <c r="A107" s="154"/>
    </row>
    <row r="108">
      <c r="A108" s="154"/>
    </row>
    <row r="109">
      <c r="A109" s="154"/>
    </row>
    <row r="110">
      <c r="A110" s="154"/>
    </row>
    <row r="111">
      <c r="A111" s="154"/>
    </row>
    <row r="112">
      <c r="A112" s="154"/>
    </row>
    <row r="113">
      <c r="A113" s="154"/>
    </row>
    <row r="114">
      <c r="A114" s="154"/>
    </row>
    <row r="115">
      <c r="A115" s="154"/>
    </row>
    <row r="116">
      <c r="A116" s="154"/>
    </row>
    <row r="117">
      <c r="A117" s="154"/>
    </row>
    <row r="118">
      <c r="A118" s="154"/>
    </row>
    <row r="119">
      <c r="A119" s="154"/>
    </row>
    <row r="120">
      <c r="A120" s="154"/>
    </row>
    <row r="121">
      <c r="A121" s="154"/>
    </row>
    <row r="122">
      <c r="A122" s="154"/>
    </row>
    <row r="123">
      <c r="A123" s="154"/>
    </row>
    <row r="124">
      <c r="A124" s="154"/>
    </row>
    <row r="125">
      <c r="A125" s="154"/>
    </row>
    <row r="126">
      <c r="A126" s="154"/>
    </row>
    <row r="127">
      <c r="A127" s="154"/>
    </row>
    <row r="128">
      <c r="A128" s="154"/>
    </row>
    <row r="129">
      <c r="A129" s="154"/>
    </row>
    <row r="130">
      <c r="A130" s="154"/>
    </row>
    <row r="131">
      <c r="A131" s="154"/>
    </row>
    <row r="132">
      <c r="A132" s="154"/>
    </row>
    <row r="133">
      <c r="A133" s="154"/>
    </row>
    <row r="134">
      <c r="A134" s="154"/>
    </row>
    <row r="135">
      <c r="A135" s="154"/>
    </row>
    <row r="136">
      <c r="A136" s="154"/>
    </row>
    <row r="137">
      <c r="A137" s="154"/>
    </row>
    <row r="138">
      <c r="A138" s="154"/>
    </row>
    <row r="139">
      <c r="A139" s="154"/>
    </row>
    <row r="140">
      <c r="A140" s="154"/>
    </row>
    <row r="141">
      <c r="A141" s="154"/>
    </row>
    <row r="142">
      <c r="A142" s="154"/>
    </row>
    <row r="143">
      <c r="A143" s="154"/>
    </row>
    <row r="144">
      <c r="A144" s="154"/>
    </row>
    <row r="145">
      <c r="A145" s="154"/>
    </row>
    <row r="146">
      <c r="A146" s="154"/>
    </row>
    <row r="147">
      <c r="A147" s="154"/>
    </row>
    <row r="148">
      <c r="A148" s="154"/>
    </row>
    <row r="149">
      <c r="A149" s="154"/>
    </row>
    <row r="150">
      <c r="A150" s="154"/>
    </row>
    <row r="151">
      <c r="A151" s="154"/>
    </row>
    <row r="152">
      <c r="A152" s="154"/>
    </row>
    <row r="153">
      <c r="A153" s="154"/>
    </row>
    <row r="154">
      <c r="A154" s="154"/>
    </row>
    <row r="155">
      <c r="A155" s="154"/>
    </row>
    <row r="156">
      <c r="A156" s="154"/>
    </row>
    <row r="157">
      <c r="A157" s="154"/>
    </row>
    <row r="158">
      <c r="A158" s="154"/>
    </row>
    <row r="159">
      <c r="A159" s="154"/>
    </row>
    <row r="160">
      <c r="A160" s="154"/>
    </row>
    <row r="161">
      <c r="A161" s="154"/>
    </row>
    <row r="162">
      <c r="A162" s="154"/>
    </row>
    <row r="163">
      <c r="A163" s="154"/>
    </row>
    <row r="164">
      <c r="A164" s="154"/>
    </row>
    <row r="165">
      <c r="A165" s="154"/>
    </row>
    <row r="166">
      <c r="A166" s="154"/>
    </row>
    <row r="167">
      <c r="A167" s="154"/>
    </row>
    <row r="168">
      <c r="A168" s="154"/>
    </row>
    <row r="169">
      <c r="A169" s="154"/>
    </row>
    <row r="170">
      <c r="A170" s="154"/>
    </row>
    <row r="171">
      <c r="A171" s="154"/>
    </row>
    <row r="172">
      <c r="A172" s="154"/>
    </row>
    <row r="173">
      <c r="A173" s="154"/>
    </row>
    <row r="174">
      <c r="A174" s="154"/>
    </row>
    <row r="175">
      <c r="A175" s="154"/>
    </row>
    <row r="176">
      <c r="A176" s="154"/>
    </row>
    <row r="177">
      <c r="A177" s="154"/>
    </row>
    <row r="178">
      <c r="A178" s="154"/>
    </row>
    <row r="179">
      <c r="A179" s="154"/>
    </row>
    <row r="180">
      <c r="A180" s="154"/>
    </row>
    <row r="181">
      <c r="A181" s="154"/>
    </row>
    <row r="182">
      <c r="A182" s="154"/>
    </row>
    <row r="183">
      <c r="A183" s="154"/>
    </row>
    <row r="184">
      <c r="A184" s="154"/>
    </row>
    <row r="185">
      <c r="A185" s="154"/>
    </row>
    <row r="186">
      <c r="A186" s="154"/>
    </row>
    <row r="187">
      <c r="A187" s="154"/>
    </row>
    <row r="188">
      <c r="A188" s="154"/>
    </row>
    <row r="189">
      <c r="A189" s="154"/>
    </row>
    <row r="190">
      <c r="A190" s="154"/>
    </row>
    <row r="191">
      <c r="A191" s="154"/>
    </row>
    <row r="192">
      <c r="A192" s="154"/>
    </row>
    <row r="193">
      <c r="A193" s="154"/>
    </row>
    <row r="194">
      <c r="A194" s="154"/>
    </row>
    <row r="195">
      <c r="A195" s="154"/>
    </row>
    <row r="196">
      <c r="A196" s="154"/>
    </row>
    <row r="197">
      <c r="A197" s="154"/>
    </row>
    <row r="198">
      <c r="A198" s="154"/>
    </row>
    <row r="199">
      <c r="A199" s="154"/>
    </row>
    <row r="200">
      <c r="A200" s="154"/>
    </row>
    <row r="201">
      <c r="A201" s="154"/>
    </row>
    <row r="202">
      <c r="A202" s="154"/>
    </row>
    <row r="203">
      <c r="A203" s="154"/>
    </row>
    <row r="204">
      <c r="A204" s="154"/>
    </row>
    <row r="205">
      <c r="A205" s="154"/>
    </row>
    <row r="206">
      <c r="A206" s="154"/>
    </row>
    <row r="207">
      <c r="A207" s="154"/>
    </row>
    <row r="208">
      <c r="A208" s="154"/>
    </row>
    <row r="209">
      <c r="A209" s="154"/>
    </row>
    <row r="210">
      <c r="A210" s="154"/>
    </row>
    <row r="211">
      <c r="A211" s="154"/>
    </row>
    <row r="212">
      <c r="A212" s="154"/>
    </row>
    <row r="213">
      <c r="A213" s="154"/>
    </row>
    <row r="214">
      <c r="A214" s="154"/>
    </row>
    <row r="215">
      <c r="A215" s="154"/>
    </row>
    <row r="216">
      <c r="A216" s="154"/>
    </row>
    <row r="217">
      <c r="A217" s="154"/>
    </row>
    <row r="218">
      <c r="A218" s="154"/>
    </row>
    <row r="219">
      <c r="A219" s="154"/>
    </row>
    <row r="220">
      <c r="A220" s="154"/>
    </row>
    <row r="221">
      <c r="A221" s="154"/>
    </row>
    <row r="222">
      <c r="A222" s="154"/>
    </row>
    <row r="223">
      <c r="A223" s="154"/>
    </row>
    <row r="224">
      <c r="A224" s="154"/>
    </row>
    <row r="225">
      <c r="A225" s="154"/>
    </row>
    <row r="226">
      <c r="A226" s="154"/>
    </row>
    <row r="227">
      <c r="A227" s="154"/>
    </row>
    <row r="228">
      <c r="A228" s="154"/>
    </row>
    <row r="229">
      <c r="A229" s="154"/>
    </row>
    <row r="230">
      <c r="A230" s="154"/>
    </row>
    <row r="231">
      <c r="A231" s="154"/>
    </row>
    <row r="232">
      <c r="A232" s="154"/>
    </row>
    <row r="233">
      <c r="A233" s="154"/>
    </row>
    <row r="234">
      <c r="A234" s="154"/>
    </row>
    <row r="235">
      <c r="A235" s="154"/>
    </row>
    <row r="236">
      <c r="A236" s="154"/>
    </row>
    <row r="237">
      <c r="A237" s="154"/>
    </row>
    <row r="238">
      <c r="A238" s="154"/>
    </row>
    <row r="239">
      <c r="A239" s="154"/>
    </row>
    <row r="240">
      <c r="A240" s="154"/>
    </row>
    <row r="241">
      <c r="A241" s="154"/>
    </row>
    <row r="242">
      <c r="A242" s="154"/>
    </row>
    <row r="243">
      <c r="A243" s="154"/>
    </row>
    <row r="244">
      <c r="A244" s="154"/>
    </row>
    <row r="245">
      <c r="A245" s="154"/>
    </row>
    <row r="246">
      <c r="A246" s="154"/>
    </row>
    <row r="247">
      <c r="A247" s="154"/>
    </row>
    <row r="248">
      <c r="A248" s="154"/>
    </row>
    <row r="249">
      <c r="A249" s="154"/>
    </row>
    <row r="250">
      <c r="A250" s="154"/>
    </row>
    <row r="251">
      <c r="A251" s="154"/>
    </row>
    <row r="252">
      <c r="A252" s="154"/>
    </row>
    <row r="253">
      <c r="A253" s="154"/>
    </row>
    <row r="254">
      <c r="A254" s="154"/>
    </row>
    <row r="255">
      <c r="A255" s="154"/>
    </row>
    <row r="256">
      <c r="A256" s="154"/>
    </row>
    <row r="257">
      <c r="A257" s="154"/>
    </row>
    <row r="258">
      <c r="A258" s="154"/>
    </row>
    <row r="259">
      <c r="A259" s="154"/>
    </row>
    <row r="260">
      <c r="A260" s="154"/>
    </row>
    <row r="261">
      <c r="A261" s="154"/>
    </row>
    <row r="262">
      <c r="A262" s="154"/>
    </row>
    <row r="263">
      <c r="A263" s="154"/>
    </row>
    <row r="264">
      <c r="A264" s="154"/>
    </row>
    <row r="265">
      <c r="A265" s="154"/>
    </row>
    <row r="266">
      <c r="A266" s="154"/>
    </row>
    <row r="267">
      <c r="A267" s="154"/>
    </row>
    <row r="268">
      <c r="A268" s="154"/>
    </row>
    <row r="269">
      <c r="A269" s="154"/>
    </row>
    <row r="270">
      <c r="A270" s="154"/>
    </row>
    <row r="271">
      <c r="A271" s="154"/>
    </row>
    <row r="272">
      <c r="A272" s="154"/>
    </row>
    <row r="273">
      <c r="A273" s="154"/>
    </row>
    <row r="274">
      <c r="A274" s="154"/>
    </row>
    <row r="275">
      <c r="A275" s="154"/>
    </row>
    <row r="276">
      <c r="A276" s="154"/>
    </row>
    <row r="277">
      <c r="A277" s="154"/>
    </row>
    <row r="278">
      <c r="A278" s="154"/>
    </row>
    <row r="279">
      <c r="A279" s="154"/>
    </row>
    <row r="280">
      <c r="A280" s="154"/>
    </row>
    <row r="281">
      <c r="A281" s="154"/>
    </row>
    <row r="282">
      <c r="A282" s="154"/>
    </row>
    <row r="283">
      <c r="A283" s="154"/>
    </row>
    <row r="284">
      <c r="A284" s="154"/>
    </row>
    <row r="285">
      <c r="A285" s="154"/>
    </row>
    <row r="286">
      <c r="A286" s="154"/>
    </row>
    <row r="287">
      <c r="A287" s="154"/>
    </row>
    <row r="288">
      <c r="A288" s="154"/>
    </row>
    <row r="289">
      <c r="A289" s="154"/>
    </row>
    <row r="290">
      <c r="A290" s="154"/>
    </row>
    <row r="291">
      <c r="A291" s="154"/>
    </row>
    <row r="292">
      <c r="A292" s="154"/>
    </row>
    <row r="293">
      <c r="A293" s="154"/>
    </row>
    <row r="294">
      <c r="A294" s="154"/>
    </row>
    <row r="295">
      <c r="A295" s="154"/>
    </row>
    <row r="296">
      <c r="A296" s="154"/>
    </row>
    <row r="297">
      <c r="A297" s="154"/>
    </row>
    <row r="298">
      <c r="A298" s="154"/>
    </row>
    <row r="299">
      <c r="A299" s="154"/>
    </row>
    <row r="300">
      <c r="A300" s="154"/>
    </row>
    <row r="301">
      <c r="A301" s="154"/>
    </row>
    <row r="302">
      <c r="A302" s="154"/>
    </row>
    <row r="303">
      <c r="A303" s="154"/>
    </row>
    <row r="304">
      <c r="A304" s="154"/>
    </row>
    <row r="305">
      <c r="A305" s="154"/>
    </row>
    <row r="306">
      <c r="A306" s="154"/>
    </row>
    <row r="307">
      <c r="A307" s="154"/>
    </row>
    <row r="308">
      <c r="A308" s="154"/>
    </row>
    <row r="309">
      <c r="A309" s="154"/>
    </row>
    <row r="310">
      <c r="A310" s="154"/>
    </row>
    <row r="311">
      <c r="A311" s="154"/>
    </row>
    <row r="312">
      <c r="A312" s="154"/>
    </row>
    <row r="313">
      <c r="A313" s="154"/>
    </row>
    <row r="314">
      <c r="A314" s="154"/>
    </row>
    <row r="315">
      <c r="A315" s="154"/>
    </row>
    <row r="316">
      <c r="A316" s="154"/>
    </row>
    <row r="317">
      <c r="A317" s="154"/>
    </row>
    <row r="318">
      <c r="A318" s="154"/>
    </row>
    <row r="319">
      <c r="A319" s="154"/>
    </row>
    <row r="320">
      <c r="A320" s="154"/>
    </row>
    <row r="321">
      <c r="A321" s="154"/>
    </row>
    <row r="322">
      <c r="A322" s="154"/>
    </row>
    <row r="323">
      <c r="A323" s="154"/>
    </row>
    <row r="324">
      <c r="A324" s="154"/>
    </row>
    <row r="325">
      <c r="A325" s="154"/>
    </row>
    <row r="326">
      <c r="A326" s="154"/>
    </row>
    <row r="327">
      <c r="A327" s="154"/>
    </row>
    <row r="328">
      <c r="A328" s="154"/>
    </row>
    <row r="329">
      <c r="A329" s="154"/>
    </row>
    <row r="330">
      <c r="A330" s="154"/>
    </row>
    <row r="331">
      <c r="A331" s="154"/>
    </row>
    <row r="332">
      <c r="A332" s="154"/>
    </row>
    <row r="333">
      <c r="A333" s="154"/>
    </row>
    <row r="334">
      <c r="A334" s="154"/>
    </row>
    <row r="335">
      <c r="A335" s="154"/>
    </row>
    <row r="336">
      <c r="A336" s="154"/>
    </row>
    <row r="337">
      <c r="A337" s="154"/>
    </row>
    <row r="338">
      <c r="A338" s="154"/>
    </row>
    <row r="339">
      <c r="A339" s="154"/>
    </row>
    <row r="340">
      <c r="A340" s="154"/>
    </row>
    <row r="341">
      <c r="A341" s="154"/>
    </row>
    <row r="342">
      <c r="A342" s="154"/>
    </row>
    <row r="343">
      <c r="A343" s="154"/>
    </row>
    <row r="344">
      <c r="A344" s="154"/>
    </row>
    <row r="345">
      <c r="A345" s="154"/>
    </row>
    <row r="346">
      <c r="A346" s="154"/>
    </row>
    <row r="347">
      <c r="A347" s="154"/>
    </row>
    <row r="348">
      <c r="A348" s="154"/>
    </row>
    <row r="349">
      <c r="A349" s="154"/>
    </row>
    <row r="350">
      <c r="A350" s="154"/>
    </row>
    <row r="351">
      <c r="A351" s="154"/>
    </row>
    <row r="352">
      <c r="A352" s="154"/>
    </row>
    <row r="353">
      <c r="A353" s="154"/>
    </row>
    <row r="354">
      <c r="A354" s="154"/>
    </row>
    <row r="355">
      <c r="A355" s="154"/>
    </row>
    <row r="356">
      <c r="A356" s="154"/>
    </row>
    <row r="357">
      <c r="A357" s="154"/>
    </row>
    <row r="358">
      <c r="A358" s="154"/>
    </row>
    <row r="359">
      <c r="A359" s="154"/>
    </row>
    <row r="360">
      <c r="A360" s="154"/>
    </row>
    <row r="361">
      <c r="A361" s="154"/>
    </row>
    <row r="362">
      <c r="A362" s="154"/>
    </row>
    <row r="363">
      <c r="A363" s="154"/>
    </row>
    <row r="364">
      <c r="A364" s="154"/>
    </row>
    <row r="365">
      <c r="A365" s="154"/>
    </row>
    <row r="366">
      <c r="A366" s="154"/>
    </row>
    <row r="367">
      <c r="A367" s="154"/>
    </row>
    <row r="368">
      <c r="A368" s="154"/>
    </row>
    <row r="369">
      <c r="A369" s="154"/>
    </row>
    <row r="370">
      <c r="A370" s="154"/>
    </row>
    <row r="371">
      <c r="A371" s="154"/>
    </row>
    <row r="372">
      <c r="A372" s="154"/>
    </row>
    <row r="373">
      <c r="A373" s="154"/>
    </row>
    <row r="374">
      <c r="A374" s="154"/>
    </row>
    <row r="375">
      <c r="A375" s="154"/>
    </row>
    <row r="376">
      <c r="A376" s="154"/>
    </row>
    <row r="377">
      <c r="A377" s="154"/>
    </row>
    <row r="378">
      <c r="A378" s="154"/>
    </row>
    <row r="379">
      <c r="A379" s="154"/>
    </row>
    <row r="380">
      <c r="A380" s="154"/>
    </row>
    <row r="381">
      <c r="A381" s="154"/>
    </row>
    <row r="382">
      <c r="A382" s="154"/>
    </row>
    <row r="383">
      <c r="A383" s="154"/>
    </row>
    <row r="384">
      <c r="A384" s="154"/>
    </row>
    <row r="385">
      <c r="A385" s="154"/>
    </row>
    <row r="386">
      <c r="A386" s="154"/>
    </row>
    <row r="387">
      <c r="A387" s="154"/>
    </row>
    <row r="388">
      <c r="A388" s="154"/>
    </row>
    <row r="389">
      <c r="A389" s="154"/>
    </row>
    <row r="390">
      <c r="A390" s="154"/>
    </row>
    <row r="391">
      <c r="A391" s="154"/>
    </row>
    <row r="392">
      <c r="A392" s="154"/>
    </row>
    <row r="393">
      <c r="A393" s="154"/>
    </row>
    <row r="394">
      <c r="A394" s="154"/>
    </row>
    <row r="395">
      <c r="A395" s="154"/>
    </row>
    <row r="396">
      <c r="A396" s="154"/>
    </row>
    <row r="397">
      <c r="A397" s="154"/>
    </row>
    <row r="398">
      <c r="A398" s="154"/>
    </row>
    <row r="399">
      <c r="A399" s="154"/>
    </row>
    <row r="400">
      <c r="A400" s="154"/>
    </row>
    <row r="401">
      <c r="A401" s="154"/>
    </row>
    <row r="402">
      <c r="A402" s="154"/>
    </row>
    <row r="403">
      <c r="A403" s="154"/>
    </row>
    <row r="404">
      <c r="A404" s="154"/>
    </row>
    <row r="405">
      <c r="A405" s="154"/>
    </row>
    <row r="406">
      <c r="A406" s="154"/>
    </row>
    <row r="407">
      <c r="A407" s="154"/>
    </row>
    <row r="408">
      <c r="A408" s="154"/>
    </row>
    <row r="409">
      <c r="A409" s="154"/>
    </row>
    <row r="410">
      <c r="A410" s="154"/>
    </row>
    <row r="411">
      <c r="A411" s="154"/>
    </row>
    <row r="412">
      <c r="A412" s="154"/>
    </row>
    <row r="413">
      <c r="A413" s="154"/>
    </row>
    <row r="414">
      <c r="A414" s="154"/>
    </row>
    <row r="415">
      <c r="A415" s="154"/>
    </row>
    <row r="416">
      <c r="A416" s="154"/>
    </row>
    <row r="417">
      <c r="A417" s="154"/>
    </row>
    <row r="418">
      <c r="A418" s="154"/>
    </row>
    <row r="419">
      <c r="A419" s="154"/>
    </row>
    <row r="420">
      <c r="A420" s="154"/>
    </row>
    <row r="421">
      <c r="A421" s="154"/>
    </row>
    <row r="422">
      <c r="A422" s="154"/>
    </row>
    <row r="423">
      <c r="A423" s="154"/>
    </row>
    <row r="424">
      <c r="A424" s="154"/>
    </row>
    <row r="425">
      <c r="A425" s="154"/>
    </row>
    <row r="426">
      <c r="A426" s="154"/>
    </row>
    <row r="427">
      <c r="A427" s="154"/>
    </row>
    <row r="428">
      <c r="A428" s="154"/>
    </row>
    <row r="429">
      <c r="A429" s="154"/>
    </row>
    <row r="430">
      <c r="A430" s="154"/>
    </row>
    <row r="431">
      <c r="A431" s="154"/>
    </row>
    <row r="432">
      <c r="A432" s="154"/>
    </row>
    <row r="433">
      <c r="A433" s="154"/>
    </row>
    <row r="434">
      <c r="A434" s="154"/>
    </row>
    <row r="435">
      <c r="A435" s="154"/>
    </row>
    <row r="436">
      <c r="A436" s="154"/>
    </row>
    <row r="437">
      <c r="A437" s="154"/>
    </row>
    <row r="438">
      <c r="A438" s="154"/>
    </row>
    <row r="439">
      <c r="A439" s="154"/>
    </row>
    <row r="440">
      <c r="A440" s="154"/>
    </row>
    <row r="441">
      <c r="A441" s="154"/>
    </row>
    <row r="442">
      <c r="A442" s="154"/>
    </row>
    <row r="443">
      <c r="A443" s="154"/>
    </row>
    <row r="444">
      <c r="A444" s="154"/>
    </row>
    <row r="445">
      <c r="A445" s="154"/>
    </row>
    <row r="446">
      <c r="A446" s="154"/>
    </row>
    <row r="447">
      <c r="A447" s="154"/>
    </row>
    <row r="448">
      <c r="A448" s="154"/>
    </row>
    <row r="449">
      <c r="A449" s="154"/>
    </row>
    <row r="450">
      <c r="A450" s="154"/>
    </row>
    <row r="451">
      <c r="A451" s="154"/>
    </row>
    <row r="452">
      <c r="A452" s="154"/>
    </row>
    <row r="453">
      <c r="A453" s="154"/>
    </row>
    <row r="454">
      <c r="A454" s="154"/>
    </row>
    <row r="455">
      <c r="A455" s="154"/>
    </row>
    <row r="456">
      <c r="A456" s="154"/>
    </row>
    <row r="457">
      <c r="A457" s="154"/>
    </row>
    <row r="458">
      <c r="A458" s="154"/>
    </row>
    <row r="459">
      <c r="A459" s="154"/>
    </row>
    <row r="460">
      <c r="A460" s="154"/>
    </row>
    <row r="461">
      <c r="A461" s="154"/>
    </row>
    <row r="462">
      <c r="A462" s="154"/>
    </row>
    <row r="463">
      <c r="A463" s="154"/>
    </row>
    <row r="464">
      <c r="A464" s="154"/>
    </row>
    <row r="465">
      <c r="A465" s="154"/>
    </row>
    <row r="466">
      <c r="A466" s="154"/>
    </row>
    <row r="467">
      <c r="A467" s="154"/>
    </row>
    <row r="468">
      <c r="A468" s="154"/>
    </row>
    <row r="469">
      <c r="A469" s="154"/>
    </row>
    <row r="470">
      <c r="A470" s="154"/>
    </row>
    <row r="471">
      <c r="A471" s="154"/>
    </row>
    <row r="472">
      <c r="A472" s="154"/>
    </row>
    <row r="473">
      <c r="A473" s="154"/>
    </row>
    <row r="474">
      <c r="A474" s="154"/>
    </row>
    <row r="475">
      <c r="A475" s="154"/>
    </row>
    <row r="476">
      <c r="A476" s="154"/>
    </row>
    <row r="477">
      <c r="A477" s="154"/>
    </row>
    <row r="478">
      <c r="A478" s="154"/>
    </row>
    <row r="479">
      <c r="A479" s="154"/>
    </row>
    <row r="480">
      <c r="A480" s="154"/>
    </row>
    <row r="481">
      <c r="A481" s="154"/>
    </row>
    <row r="482">
      <c r="A482" s="154"/>
    </row>
    <row r="483">
      <c r="A483" s="154"/>
    </row>
    <row r="484">
      <c r="A484" s="154"/>
    </row>
    <row r="485">
      <c r="A485" s="154"/>
    </row>
    <row r="486">
      <c r="A486" s="154"/>
    </row>
    <row r="487">
      <c r="A487" s="154"/>
    </row>
    <row r="488">
      <c r="A488" s="154"/>
    </row>
    <row r="489">
      <c r="A489" s="154"/>
    </row>
    <row r="490">
      <c r="A490" s="154"/>
    </row>
    <row r="491">
      <c r="A491" s="154"/>
    </row>
    <row r="492">
      <c r="A492" s="154"/>
    </row>
    <row r="493">
      <c r="A493" s="154"/>
    </row>
    <row r="494">
      <c r="A494" s="154"/>
    </row>
    <row r="495">
      <c r="A495" s="154"/>
    </row>
    <row r="496">
      <c r="A496" s="154"/>
    </row>
    <row r="497">
      <c r="A497" s="154"/>
    </row>
    <row r="498">
      <c r="A498" s="154"/>
    </row>
    <row r="499">
      <c r="A499" s="154"/>
    </row>
    <row r="500">
      <c r="A500" s="154"/>
    </row>
    <row r="501">
      <c r="A501" s="154"/>
    </row>
    <row r="502">
      <c r="A502" s="154"/>
    </row>
    <row r="503">
      <c r="A503" s="154"/>
    </row>
    <row r="504">
      <c r="A504" s="154"/>
    </row>
    <row r="505">
      <c r="A505" s="154"/>
    </row>
    <row r="506">
      <c r="A506" s="154"/>
    </row>
    <row r="507">
      <c r="A507" s="154"/>
    </row>
    <row r="508">
      <c r="A508" s="154"/>
    </row>
    <row r="509">
      <c r="A509" s="154"/>
    </row>
    <row r="510">
      <c r="A510" s="154"/>
    </row>
    <row r="511">
      <c r="A511" s="154"/>
    </row>
    <row r="512">
      <c r="A512" s="154"/>
    </row>
    <row r="513">
      <c r="A513" s="154"/>
    </row>
    <row r="514">
      <c r="A514" s="154"/>
    </row>
    <row r="515">
      <c r="A515" s="154"/>
    </row>
    <row r="516">
      <c r="A516" s="154"/>
    </row>
    <row r="517">
      <c r="A517" s="154"/>
    </row>
    <row r="518">
      <c r="A518" s="154"/>
    </row>
    <row r="519">
      <c r="A519" s="154"/>
    </row>
    <row r="520">
      <c r="A520" s="154"/>
    </row>
    <row r="521">
      <c r="A521" s="154"/>
    </row>
    <row r="522">
      <c r="A522" s="154"/>
    </row>
    <row r="523">
      <c r="A523" s="154"/>
    </row>
    <row r="524">
      <c r="A524" s="154"/>
    </row>
    <row r="525">
      <c r="A525" s="154"/>
    </row>
    <row r="526">
      <c r="A526" s="154"/>
    </row>
    <row r="527">
      <c r="A527" s="154"/>
    </row>
    <row r="528">
      <c r="A528" s="154"/>
    </row>
    <row r="529">
      <c r="A529" s="154"/>
    </row>
    <row r="530">
      <c r="A530" s="154"/>
    </row>
    <row r="531">
      <c r="A531" s="154"/>
    </row>
    <row r="532">
      <c r="A532" s="154"/>
    </row>
    <row r="533">
      <c r="A533" s="154"/>
    </row>
    <row r="534">
      <c r="A534" s="154"/>
    </row>
    <row r="535">
      <c r="A535" s="154"/>
    </row>
    <row r="536">
      <c r="A536" s="154"/>
    </row>
    <row r="537">
      <c r="A537" s="154"/>
    </row>
    <row r="538">
      <c r="A538" s="154"/>
    </row>
    <row r="539">
      <c r="A539" s="154"/>
    </row>
    <row r="540">
      <c r="A540" s="154"/>
    </row>
    <row r="541">
      <c r="A541" s="154"/>
    </row>
    <row r="542">
      <c r="A542" s="154"/>
    </row>
    <row r="543">
      <c r="A543" s="154"/>
    </row>
    <row r="544">
      <c r="A544" s="154"/>
    </row>
    <row r="545">
      <c r="A545" s="154"/>
    </row>
    <row r="546">
      <c r="A546" s="154"/>
    </row>
    <row r="547">
      <c r="A547" s="154"/>
    </row>
    <row r="548">
      <c r="A548" s="154"/>
    </row>
    <row r="549">
      <c r="A549" s="154"/>
    </row>
    <row r="550">
      <c r="A550" s="154"/>
    </row>
    <row r="551">
      <c r="A551" s="154"/>
    </row>
    <row r="552">
      <c r="A552" s="154"/>
    </row>
    <row r="553">
      <c r="A553" s="154"/>
    </row>
    <row r="554">
      <c r="A554" s="154"/>
    </row>
    <row r="555">
      <c r="A555" s="154"/>
    </row>
    <row r="556">
      <c r="A556" s="154"/>
    </row>
    <row r="557">
      <c r="A557" s="154"/>
    </row>
    <row r="558">
      <c r="A558" s="154"/>
    </row>
    <row r="559">
      <c r="A559" s="154"/>
    </row>
    <row r="560">
      <c r="A560" s="154"/>
    </row>
    <row r="561">
      <c r="A561" s="154"/>
    </row>
    <row r="562">
      <c r="A562" s="154"/>
    </row>
    <row r="563">
      <c r="A563" s="154"/>
    </row>
    <row r="564">
      <c r="A564" s="154"/>
    </row>
    <row r="565">
      <c r="A565" s="154"/>
    </row>
    <row r="566">
      <c r="A566" s="154"/>
    </row>
    <row r="567">
      <c r="A567" s="154"/>
    </row>
    <row r="568">
      <c r="A568" s="154"/>
    </row>
    <row r="569">
      <c r="A569" s="154"/>
    </row>
    <row r="570">
      <c r="A570" s="154"/>
    </row>
    <row r="571">
      <c r="A571" s="154"/>
    </row>
    <row r="572">
      <c r="A572" s="154"/>
    </row>
    <row r="573">
      <c r="A573" s="154"/>
    </row>
    <row r="574">
      <c r="A574" s="154"/>
    </row>
    <row r="575">
      <c r="A575" s="154"/>
    </row>
    <row r="576">
      <c r="A576" s="154"/>
    </row>
    <row r="577">
      <c r="A577" s="154"/>
    </row>
    <row r="578">
      <c r="A578" s="154"/>
    </row>
    <row r="579">
      <c r="A579" s="154"/>
    </row>
    <row r="580">
      <c r="A580" s="154"/>
    </row>
    <row r="581">
      <c r="A581" s="154"/>
    </row>
    <row r="582">
      <c r="A582" s="154"/>
    </row>
    <row r="583">
      <c r="A583" s="154"/>
    </row>
    <row r="584">
      <c r="A584" s="154"/>
    </row>
    <row r="585">
      <c r="A585" s="154"/>
    </row>
    <row r="586">
      <c r="A586" s="154"/>
    </row>
    <row r="587">
      <c r="A587" s="154"/>
    </row>
    <row r="588">
      <c r="A588" s="154"/>
    </row>
    <row r="589">
      <c r="A589" s="154"/>
    </row>
    <row r="590">
      <c r="A590" s="154"/>
    </row>
    <row r="591">
      <c r="A591" s="154"/>
    </row>
    <row r="592">
      <c r="A592" s="154"/>
    </row>
    <row r="593">
      <c r="A593" s="154"/>
    </row>
    <row r="594">
      <c r="A594" s="154"/>
    </row>
    <row r="595">
      <c r="A595" s="154"/>
    </row>
    <row r="596">
      <c r="A596" s="154"/>
    </row>
    <row r="597">
      <c r="A597" s="154"/>
    </row>
    <row r="598">
      <c r="A598" s="154"/>
    </row>
    <row r="599">
      <c r="A599" s="154"/>
    </row>
    <row r="600">
      <c r="A600" s="154"/>
    </row>
    <row r="601">
      <c r="A601" s="154"/>
    </row>
    <row r="602">
      <c r="A602" s="154"/>
    </row>
    <row r="603">
      <c r="A603" s="154"/>
    </row>
    <row r="604">
      <c r="A604" s="154"/>
    </row>
    <row r="605">
      <c r="A605" s="154"/>
    </row>
    <row r="606">
      <c r="A606" s="154"/>
    </row>
    <row r="607">
      <c r="A607" s="154"/>
    </row>
    <row r="608">
      <c r="A608" s="154"/>
    </row>
    <row r="609">
      <c r="A609" s="154"/>
    </row>
    <row r="610">
      <c r="A610" s="154"/>
    </row>
    <row r="611">
      <c r="A611" s="154"/>
    </row>
    <row r="612">
      <c r="A612" s="154"/>
    </row>
    <row r="613">
      <c r="A613" s="154"/>
    </row>
    <row r="614">
      <c r="A614" s="154"/>
    </row>
    <row r="615">
      <c r="A615" s="154"/>
    </row>
    <row r="616">
      <c r="A616" s="154"/>
    </row>
    <row r="617">
      <c r="A617" s="154"/>
    </row>
    <row r="618">
      <c r="A618" s="154"/>
    </row>
    <row r="619">
      <c r="A619" s="154"/>
    </row>
    <row r="620">
      <c r="A620" s="154"/>
    </row>
    <row r="621">
      <c r="A621" s="154"/>
    </row>
    <row r="622">
      <c r="A622" s="154"/>
    </row>
    <row r="623">
      <c r="A623" s="154"/>
    </row>
    <row r="624">
      <c r="A624" s="154"/>
    </row>
    <row r="625">
      <c r="A625" s="154"/>
    </row>
    <row r="626">
      <c r="A626" s="154"/>
    </row>
    <row r="627">
      <c r="A627" s="154"/>
    </row>
    <row r="628">
      <c r="A628" s="154"/>
    </row>
    <row r="629">
      <c r="A629" s="154"/>
    </row>
    <row r="630">
      <c r="A630" s="154"/>
    </row>
    <row r="631">
      <c r="A631" s="154"/>
    </row>
    <row r="632">
      <c r="A632" s="154"/>
    </row>
    <row r="633">
      <c r="A633" s="154"/>
    </row>
    <row r="634">
      <c r="A634" s="154"/>
    </row>
    <row r="635">
      <c r="A635" s="154"/>
    </row>
    <row r="636">
      <c r="A636" s="154"/>
    </row>
    <row r="637">
      <c r="A637" s="154"/>
    </row>
    <row r="638">
      <c r="A638" s="154"/>
    </row>
    <row r="639">
      <c r="A639" s="154"/>
    </row>
    <row r="640">
      <c r="A640" s="154"/>
    </row>
    <row r="641">
      <c r="A641" s="154"/>
    </row>
    <row r="642">
      <c r="A642" s="154"/>
    </row>
    <row r="643">
      <c r="A643" s="154"/>
    </row>
    <row r="644">
      <c r="A644" s="154"/>
    </row>
    <row r="645">
      <c r="A645" s="154"/>
    </row>
    <row r="646">
      <c r="A646" s="154"/>
    </row>
    <row r="647">
      <c r="A647" s="154"/>
    </row>
    <row r="648">
      <c r="A648" s="154"/>
    </row>
    <row r="649">
      <c r="A649" s="154"/>
    </row>
    <row r="650">
      <c r="A650" s="154"/>
    </row>
    <row r="651">
      <c r="A651" s="154"/>
    </row>
    <row r="652">
      <c r="A652" s="154"/>
    </row>
    <row r="653">
      <c r="A653" s="154"/>
    </row>
    <row r="654">
      <c r="A654" s="154"/>
    </row>
    <row r="655">
      <c r="A655" s="154"/>
    </row>
    <row r="656">
      <c r="A656" s="154"/>
    </row>
    <row r="657">
      <c r="A657" s="154"/>
    </row>
    <row r="658">
      <c r="A658" s="154"/>
    </row>
    <row r="659">
      <c r="A659" s="154"/>
    </row>
    <row r="660">
      <c r="A660" s="154"/>
    </row>
    <row r="661">
      <c r="A661" s="154"/>
    </row>
    <row r="662">
      <c r="A662" s="154"/>
    </row>
    <row r="663">
      <c r="A663" s="154"/>
    </row>
    <row r="664">
      <c r="A664" s="154"/>
    </row>
    <row r="665">
      <c r="A665" s="154"/>
    </row>
    <row r="666">
      <c r="A666" s="154"/>
    </row>
    <row r="667">
      <c r="A667" s="154"/>
    </row>
    <row r="668">
      <c r="A668" s="154"/>
    </row>
    <row r="669">
      <c r="A669" s="154"/>
    </row>
    <row r="670">
      <c r="A670" s="154"/>
    </row>
    <row r="671">
      <c r="A671" s="154"/>
    </row>
    <row r="672">
      <c r="A672" s="154"/>
    </row>
    <row r="673">
      <c r="A673" s="154"/>
    </row>
    <row r="674">
      <c r="A674" s="154"/>
    </row>
    <row r="675">
      <c r="A675" s="154"/>
    </row>
    <row r="676">
      <c r="A676" s="154"/>
    </row>
    <row r="677">
      <c r="A677" s="154"/>
    </row>
    <row r="678">
      <c r="A678" s="154"/>
    </row>
    <row r="679">
      <c r="A679" s="154"/>
    </row>
    <row r="680">
      <c r="A680" s="154"/>
    </row>
    <row r="681">
      <c r="A681" s="154"/>
    </row>
    <row r="682">
      <c r="A682" s="154"/>
    </row>
    <row r="683">
      <c r="A683" s="154"/>
    </row>
    <row r="684">
      <c r="A684" s="154"/>
    </row>
    <row r="685">
      <c r="A685" s="154"/>
    </row>
    <row r="686">
      <c r="A686" s="154"/>
    </row>
    <row r="687">
      <c r="A687" s="154"/>
    </row>
    <row r="688">
      <c r="A688" s="154"/>
    </row>
    <row r="689">
      <c r="A689" s="154"/>
    </row>
    <row r="690">
      <c r="A690" s="154"/>
    </row>
    <row r="691">
      <c r="A691" s="154"/>
    </row>
    <row r="692">
      <c r="A692" s="154"/>
    </row>
    <row r="693">
      <c r="A693" s="154"/>
    </row>
    <row r="694">
      <c r="A694" s="154"/>
    </row>
    <row r="695">
      <c r="A695" s="154"/>
    </row>
    <row r="696">
      <c r="A696" s="154"/>
    </row>
    <row r="697">
      <c r="A697" s="154"/>
    </row>
    <row r="698">
      <c r="A698" s="154"/>
    </row>
    <row r="699">
      <c r="A699" s="154"/>
    </row>
    <row r="700">
      <c r="A700" s="154"/>
    </row>
    <row r="701">
      <c r="A701" s="154"/>
    </row>
    <row r="702">
      <c r="A702" s="154"/>
    </row>
    <row r="703">
      <c r="A703" s="154"/>
    </row>
    <row r="704">
      <c r="A704" s="154"/>
    </row>
    <row r="705">
      <c r="A705" s="154"/>
    </row>
    <row r="706">
      <c r="A706" s="154"/>
    </row>
    <row r="707">
      <c r="A707" s="154"/>
    </row>
    <row r="708">
      <c r="A708" s="154"/>
    </row>
    <row r="709">
      <c r="A709" s="154"/>
    </row>
    <row r="710">
      <c r="A710" s="154"/>
    </row>
    <row r="711">
      <c r="A711" s="154"/>
    </row>
    <row r="712">
      <c r="A712" s="154"/>
    </row>
    <row r="713">
      <c r="A713" s="154"/>
    </row>
    <row r="714">
      <c r="A714" s="154"/>
    </row>
    <row r="715">
      <c r="A715" s="154"/>
    </row>
    <row r="716">
      <c r="A716" s="154"/>
    </row>
    <row r="717">
      <c r="A717" s="154"/>
    </row>
    <row r="718">
      <c r="A718" s="154"/>
    </row>
    <row r="719">
      <c r="A719" s="154"/>
    </row>
    <row r="720">
      <c r="A720" s="154"/>
    </row>
    <row r="721">
      <c r="A721" s="154"/>
    </row>
    <row r="722">
      <c r="A722" s="154"/>
    </row>
    <row r="723">
      <c r="A723" s="154"/>
    </row>
    <row r="724">
      <c r="A724" s="154"/>
    </row>
    <row r="725">
      <c r="A725" s="154"/>
    </row>
    <row r="726">
      <c r="A726" s="154"/>
    </row>
    <row r="727">
      <c r="A727" s="154"/>
    </row>
    <row r="728">
      <c r="A728" s="154"/>
    </row>
    <row r="729">
      <c r="A729" s="154"/>
    </row>
    <row r="730">
      <c r="A730" s="154"/>
    </row>
    <row r="731">
      <c r="A731" s="154"/>
    </row>
    <row r="732">
      <c r="A732" s="154"/>
    </row>
    <row r="733">
      <c r="A733" s="154"/>
    </row>
    <row r="734">
      <c r="A734" s="154"/>
    </row>
    <row r="735">
      <c r="A735" s="154"/>
    </row>
    <row r="736">
      <c r="A736" s="154"/>
    </row>
    <row r="737">
      <c r="A737" s="154"/>
    </row>
    <row r="738">
      <c r="A738" s="154"/>
    </row>
    <row r="739">
      <c r="A739" s="154"/>
    </row>
    <row r="740">
      <c r="A740" s="154"/>
    </row>
    <row r="741">
      <c r="A741" s="154"/>
    </row>
    <row r="742">
      <c r="A742" s="154"/>
    </row>
    <row r="743">
      <c r="A743" s="154"/>
    </row>
    <row r="744">
      <c r="A744" s="154"/>
    </row>
    <row r="745">
      <c r="A745" s="154"/>
    </row>
    <row r="746">
      <c r="A746" s="154"/>
    </row>
    <row r="747">
      <c r="A747" s="154"/>
    </row>
    <row r="748">
      <c r="A748" s="154"/>
    </row>
    <row r="749">
      <c r="A749" s="154"/>
    </row>
    <row r="750">
      <c r="A750" s="154"/>
    </row>
    <row r="751">
      <c r="A751" s="154"/>
    </row>
    <row r="752">
      <c r="A752" s="154"/>
    </row>
    <row r="753">
      <c r="A753" s="154"/>
    </row>
    <row r="754">
      <c r="A754" s="154"/>
    </row>
    <row r="755">
      <c r="A755" s="154"/>
    </row>
    <row r="756">
      <c r="A756" s="154"/>
    </row>
    <row r="757">
      <c r="A757" s="154"/>
    </row>
    <row r="758">
      <c r="A758" s="154"/>
    </row>
    <row r="759">
      <c r="A759" s="154"/>
    </row>
    <row r="760">
      <c r="A760" s="154"/>
    </row>
    <row r="761">
      <c r="A761" s="154"/>
    </row>
    <row r="762">
      <c r="A762" s="154"/>
    </row>
    <row r="763">
      <c r="A763" s="154"/>
    </row>
    <row r="764">
      <c r="A764" s="154"/>
    </row>
    <row r="765">
      <c r="A765" s="154"/>
    </row>
    <row r="766">
      <c r="A766" s="154"/>
    </row>
    <row r="767">
      <c r="A767" s="154"/>
    </row>
    <row r="768">
      <c r="A768" s="154"/>
    </row>
    <row r="769">
      <c r="A769" s="154"/>
    </row>
    <row r="770">
      <c r="A770" s="154"/>
    </row>
    <row r="771">
      <c r="A771" s="154"/>
    </row>
    <row r="772">
      <c r="A772" s="154"/>
    </row>
    <row r="773">
      <c r="A773" s="154"/>
    </row>
    <row r="774">
      <c r="A774" s="154"/>
    </row>
    <row r="775">
      <c r="A775" s="154"/>
    </row>
    <row r="776">
      <c r="A776" s="154"/>
    </row>
    <row r="777">
      <c r="A777" s="154"/>
    </row>
    <row r="778">
      <c r="A778" s="154"/>
    </row>
    <row r="779">
      <c r="A779" s="154"/>
    </row>
    <row r="780">
      <c r="A780" s="154"/>
    </row>
    <row r="781">
      <c r="A781" s="154"/>
    </row>
    <row r="782">
      <c r="A782" s="154"/>
    </row>
    <row r="783">
      <c r="A783" s="154"/>
    </row>
    <row r="784">
      <c r="A784" s="154"/>
    </row>
    <row r="785">
      <c r="A785" s="154"/>
    </row>
    <row r="786">
      <c r="A786" s="154"/>
    </row>
    <row r="787">
      <c r="A787" s="154"/>
    </row>
    <row r="788">
      <c r="A788" s="154"/>
    </row>
    <row r="789">
      <c r="A789" s="154"/>
    </row>
    <row r="790">
      <c r="A790" s="154"/>
    </row>
    <row r="791">
      <c r="A791" s="154"/>
    </row>
    <row r="792">
      <c r="A792" s="154"/>
    </row>
    <row r="793">
      <c r="A793" s="154"/>
    </row>
    <row r="794">
      <c r="A794" s="154"/>
    </row>
    <row r="795">
      <c r="A795" s="154"/>
    </row>
    <row r="796">
      <c r="A796" s="154"/>
    </row>
    <row r="797">
      <c r="A797" s="154"/>
    </row>
    <row r="798">
      <c r="A798" s="154"/>
    </row>
    <row r="799">
      <c r="A799" s="154"/>
    </row>
    <row r="800">
      <c r="A800" s="154"/>
    </row>
    <row r="801">
      <c r="A801" s="154"/>
    </row>
    <row r="802">
      <c r="A802" s="154"/>
    </row>
    <row r="803">
      <c r="A803" s="154"/>
    </row>
    <row r="804">
      <c r="A804" s="154"/>
    </row>
    <row r="805">
      <c r="A805" s="154"/>
    </row>
    <row r="806">
      <c r="A806" s="154"/>
    </row>
    <row r="807">
      <c r="A807" s="154"/>
    </row>
    <row r="808">
      <c r="A808" s="154"/>
    </row>
    <row r="809">
      <c r="A809" s="154"/>
    </row>
    <row r="810">
      <c r="A810" s="154"/>
    </row>
    <row r="811">
      <c r="A811" s="154"/>
    </row>
    <row r="812">
      <c r="A812" s="154"/>
    </row>
    <row r="813">
      <c r="A813" s="154"/>
    </row>
    <row r="814">
      <c r="A814" s="154"/>
    </row>
    <row r="815">
      <c r="A815" s="154"/>
    </row>
    <row r="816">
      <c r="A816" s="154"/>
    </row>
    <row r="817">
      <c r="A817" s="154"/>
    </row>
    <row r="818">
      <c r="A818" s="154"/>
    </row>
    <row r="819">
      <c r="A819" s="154"/>
    </row>
    <row r="820">
      <c r="A820" s="154"/>
    </row>
    <row r="821">
      <c r="A821" s="154"/>
    </row>
    <row r="822">
      <c r="A822" s="154"/>
    </row>
    <row r="823">
      <c r="A823" s="154"/>
    </row>
    <row r="824">
      <c r="A824" s="154"/>
    </row>
    <row r="825">
      <c r="A825" s="154"/>
    </row>
    <row r="826">
      <c r="A826" s="154"/>
    </row>
    <row r="827">
      <c r="A827" s="154"/>
    </row>
    <row r="828">
      <c r="A828" s="154"/>
    </row>
    <row r="829">
      <c r="A829" s="154"/>
    </row>
    <row r="830">
      <c r="A830" s="154"/>
    </row>
    <row r="831">
      <c r="A831" s="154"/>
    </row>
    <row r="832">
      <c r="A832" s="154"/>
    </row>
    <row r="833">
      <c r="A833" s="154"/>
    </row>
    <row r="834">
      <c r="A834" s="154"/>
    </row>
    <row r="835">
      <c r="A835" s="154"/>
    </row>
    <row r="836">
      <c r="A836" s="154"/>
    </row>
    <row r="837">
      <c r="A837" s="154"/>
    </row>
    <row r="838">
      <c r="A838" s="154"/>
    </row>
    <row r="839">
      <c r="A839" s="154"/>
    </row>
    <row r="840">
      <c r="A840" s="154"/>
    </row>
    <row r="841">
      <c r="A841" s="154"/>
    </row>
    <row r="842">
      <c r="A842" s="154"/>
    </row>
    <row r="843">
      <c r="A843" s="154"/>
    </row>
    <row r="844">
      <c r="A844" s="154"/>
    </row>
    <row r="845">
      <c r="A845" s="154"/>
    </row>
    <row r="846">
      <c r="A846" s="154"/>
    </row>
    <row r="847">
      <c r="A847" s="154"/>
    </row>
    <row r="848">
      <c r="A848" s="154"/>
    </row>
    <row r="849">
      <c r="A849" s="154"/>
    </row>
    <row r="850">
      <c r="A850" s="154"/>
    </row>
    <row r="851">
      <c r="A851" s="154"/>
    </row>
    <row r="852">
      <c r="A852" s="154"/>
    </row>
    <row r="853">
      <c r="A853" s="154"/>
    </row>
    <row r="854">
      <c r="A854" s="154"/>
    </row>
    <row r="855">
      <c r="A855" s="154"/>
    </row>
    <row r="856">
      <c r="A856" s="154"/>
    </row>
    <row r="857">
      <c r="A857" s="154"/>
    </row>
    <row r="858">
      <c r="A858" s="154"/>
    </row>
    <row r="859">
      <c r="A859" s="154"/>
    </row>
    <row r="860">
      <c r="A860" s="154"/>
    </row>
    <row r="861">
      <c r="A861" s="154"/>
    </row>
    <row r="862">
      <c r="A862" s="154"/>
    </row>
    <row r="863">
      <c r="A863" s="154"/>
    </row>
    <row r="864">
      <c r="A864" s="154"/>
    </row>
    <row r="865">
      <c r="A865" s="154"/>
    </row>
    <row r="866">
      <c r="A866" s="154"/>
    </row>
    <row r="867">
      <c r="A867" s="154"/>
    </row>
    <row r="868">
      <c r="A868" s="154"/>
    </row>
    <row r="869">
      <c r="A869" s="154"/>
    </row>
    <row r="870">
      <c r="A870" s="154"/>
    </row>
    <row r="871">
      <c r="A871" s="154"/>
    </row>
    <row r="872">
      <c r="A872" s="154"/>
    </row>
    <row r="873">
      <c r="A873" s="154"/>
    </row>
    <row r="874">
      <c r="A874" s="154"/>
    </row>
    <row r="875">
      <c r="A875" s="154"/>
    </row>
    <row r="876">
      <c r="A876" s="154"/>
    </row>
    <row r="877">
      <c r="A877" s="154"/>
    </row>
    <row r="878">
      <c r="A878" s="154"/>
    </row>
    <row r="879">
      <c r="A879" s="154"/>
    </row>
    <row r="880">
      <c r="A880" s="154"/>
    </row>
    <row r="881">
      <c r="A881" s="154"/>
    </row>
    <row r="882">
      <c r="A882" s="154"/>
    </row>
    <row r="883">
      <c r="A883" s="154"/>
    </row>
    <row r="884">
      <c r="A884" s="154"/>
    </row>
    <row r="885">
      <c r="A885" s="154"/>
    </row>
    <row r="886">
      <c r="A886" s="154"/>
    </row>
    <row r="887">
      <c r="A887" s="154"/>
    </row>
    <row r="888">
      <c r="A888" s="154"/>
    </row>
    <row r="889">
      <c r="A889" s="154"/>
    </row>
    <row r="890">
      <c r="A890" s="154"/>
    </row>
    <row r="891">
      <c r="A891" s="154"/>
    </row>
    <row r="892">
      <c r="A892" s="154"/>
    </row>
    <row r="893">
      <c r="A893" s="154"/>
    </row>
    <row r="894">
      <c r="A894" s="154"/>
    </row>
    <row r="895">
      <c r="A895" s="154"/>
    </row>
    <row r="896">
      <c r="A896" s="154"/>
    </row>
    <row r="897">
      <c r="A897" s="154"/>
    </row>
    <row r="898">
      <c r="A898" s="154"/>
    </row>
    <row r="899">
      <c r="A899" s="154"/>
    </row>
    <row r="900">
      <c r="A900" s="154"/>
    </row>
    <row r="901">
      <c r="A901" s="154"/>
    </row>
    <row r="902">
      <c r="A902" s="154"/>
    </row>
    <row r="903">
      <c r="A903" s="154"/>
    </row>
    <row r="904">
      <c r="A904" s="154"/>
    </row>
    <row r="905">
      <c r="A905" s="154"/>
    </row>
    <row r="906">
      <c r="A906" s="154"/>
    </row>
    <row r="907">
      <c r="A907" s="154"/>
    </row>
    <row r="908">
      <c r="A908" s="154"/>
    </row>
    <row r="909">
      <c r="A909" s="154"/>
    </row>
    <row r="910">
      <c r="A910" s="154"/>
    </row>
    <row r="911">
      <c r="A911" s="154"/>
    </row>
    <row r="912">
      <c r="A912" s="154"/>
    </row>
    <row r="913">
      <c r="A913" s="154"/>
    </row>
    <row r="914">
      <c r="A914" s="154"/>
    </row>
    <row r="915">
      <c r="A915" s="154"/>
    </row>
    <row r="916">
      <c r="A916" s="154"/>
    </row>
    <row r="917">
      <c r="A917" s="154"/>
    </row>
    <row r="918">
      <c r="A918" s="154"/>
    </row>
    <row r="919">
      <c r="A919" s="154"/>
    </row>
    <row r="920">
      <c r="A920" s="154"/>
    </row>
    <row r="921">
      <c r="A921" s="154"/>
    </row>
    <row r="922">
      <c r="A922" s="154"/>
    </row>
    <row r="923">
      <c r="A923" s="154"/>
    </row>
    <row r="924">
      <c r="A924" s="154"/>
    </row>
    <row r="925">
      <c r="A925" s="154"/>
    </row>
    <row r="926">
      <c r="A926" s="154"/>
    </row>
    <row r="927">
      <c r="A927" s="154"/>
    </row>
    <row r="928">
      <c r="A928" s="154"/>
    </row>
    <row r="929">
      <c r="A929" s="154"/>
    </row>
    <row r="930">
      <c r="A930" s="154"/>
    </row>
    <row r="931">
      <c r="A931" s="154"/>
    </row>
    <row r="932">
      <c r="A932" s="154"/>
    </row>
    <row r="933">
      <c r="A933" s="154"/>
    </row>
    <row r="934">
      <c r="A934" s="154"/>
    </row>
    <row r="935">
      <c r="A935" s="154"/>
    </row>
    <row r="936">
      <c r="A936" s="154"/>
    </row>
    <row r="937">
      <c r="A937" s="154"/>
    </row>
    <row r="938">
      <c r="A938" s="154"/>
    </row>
    <row r="939">
      <c r="A939" s="154"/>
    </row>
    <row r="940">
      <c r="A940" s="154"/>
    </row>
    <row r="941">
      <c r="A941" s="154"/>
    </row>
    <row r="942">
      <c r="A942" s="154"/>
    </row>
    <row r="943">
      <c r="A943" s="154"/>
    </row>
    <row r="944">
      <c r="A944" s="154"/>
    </row>
    <row r="945">
      <c r="A945" s="154"/>
    </row>
    <row r="946">
      <c r="A946" s="154"/>
    </row>
    <row r="947">
      <c r="A947" s="154"/>
    </row>
    <row r="948">
      <c r="A948" s="154"/>
    </row>
    <row r="949">
      <c r="A949" s="154"/>
    </row>
    <row r="950">
      <c r="A950" s="154"/>
    </row>
    <row r="951">
      <c r="A951" s="154"/>
    </row>
    <row r="952">
      <c r="A952" s="154"/>
    </row>
    <row r="953">
      <c r="A953" s="154"/>
    </row>
    <row r="954">
      <c r="A954" s="154"/>
    </row>
    <row r="955">
      <c r="A955" s="154"/>
    </row>
    <row r="956">
      <c r="A956" s="154"/>
    </row>
    <row r="957">
      <c r="A957" s="154"/>
    </row>
    <row r="958">
      <c r="A958" s="154"/>
    </row>
    <row r="959">
      <c r="A959" s="154"/>
    </row>
    <row r="960">
      <c r="A960" s="154"/>
    </row>
    <row r="961">
      <c r="A961" s="154"/>
    </row>
    <row r="962">
      <c r="A962" s="154"/>
    </row>
    <row r="963">
      <c r="A963" s="154"/>
    </row>
    <row r="964">
      <c r="A964" s="154"/>
    </row>
    <row r="965">
      <c r="A965" s="154"/>
    </row>
    <row r="966">
      <c r="A966" s="154"/>
    </row>
    <row r="967">
      <c r="A967" s="154"/>
    </row>
    <row r="968">
      <c r="A968" s="154"/>
    </row>
    <row r="969">
      <c r="A969" s="154"/>
    </row>
    <row r="970">
      <c r="A970" s="154"/>
    </row>
    <row r="971">
      <c r="A971" s="154"/>
    </row>
    <row r="972">
      <c r="A972" s="154"/>
    </row>
    <row r="973">
      <c r="A973" s="154"/>
    </row>
    <row r="974">
      <c r="A974" s="154"/>
    </row>
    <row r="975">
      <c r="A975" s="154"/>
    </row>
    <row r="976">
      <c r="A976" s="154"/>
    </row>
    <row r="977">
      <c r="A977" s="154"/>
    </row>
    <row r="978">
      <c r="A978" s="154"/>
    </row>
    <row r="979">
      <c r="A979" s="154"/>
    </row>
    <row r="980">
      <c r="A980" s="154"/>
    </row>
    <row r="981">
      <c r="A981" s="154"/>
    </row>
    <row r="982">
      <c r="A982" s="154"/>
    </row>
    <row r="983">
      <c r="A983" s="154"/>
    </row>
    <row r="984">
      <c r="A984" s="154"/>
    </row>
    <row r="985">
      <c r="A985" s="154"/>
    </row>
    <row r="986">
      <c r="A986" s="154"/>
    </row>
    <row r="987">
      <c r="A987" s="154"/>
    </row>
    <row r="988">
      <c r="A988" s="154"/>
    </row>
    <row r="989">
      <c r="A989" s="154"/>
    </row>
    <row r="990">
      <c r="A990" s="154"/>
    </row>
    <row r="991">
      <c r="A991" s="154"/>
    </row>
    <row r="992">
      <c r="A992" s="154"/>
    </row>
    <row r="993">
      <c r="A993" s="154"/>
    </row>
    <row r="994">
      <c r="A994" s="154"/>
    </row>
    <row r="995">
      <c r="A995" s="154"/>
    </row>
    <row r="996">
      <c r="A996" s="154"/>
    </row>
    <row r="997">
      <c r="A997" s="154"/>
    </row>
    <row r="998">
      <c r="A998" s="154"/>
    </row>
    <row r="999">
      <c r="A999" s="154"/>
    </row>
    <row r="1000">
      <c r="A1000" s="154"/>
    </row>
  </sheetData>
  <drawing r:id="rId1"/>
</worksheet>
</file>